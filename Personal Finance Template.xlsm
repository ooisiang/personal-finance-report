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7C0DE0FA-349E-467F-B9A4-D2DD6D7B0274}" xr6:coauthVersionLast="46" xr6:coauthVersionMax="46" xr10:uidLastSave="{00000000-0000-0000-0000-000000000000}"/>
  <bookViews>
    <workbookView xWindow="-108" yWindow="-108" windowWidth="23256" windowHeight="12576" tabRatio="897" activeTab="1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H38" i="17" l="1"/>
  <c r="H39" i="17"/>
  <c r="H37" i="17"/>
  <c r="H34" i="17"/>
  <c r="H35" i="17"/>
  <c r="H36" i="17"/>
  <c r="H33" i="17"/>
  <c r="H28" i="17"/>
  <c r="H29" i="17"/>
  <c r="H30" i="17"/>
  <c r="H31" i="17"/>
  <c r="H32" i="17"/>
  <c r="H27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14" i="17"/>
  <c r="H10" i="17"/>
  <c r="H11" i="17"/>
  <c r="H12" i="17"/>
  <c r="H13" i="17"/>
  <c r="H9" i="17"/>
  <c r="H5" i="17"/>
  <c r="H6" i="17"/>
  <c r="H7" i="17"/>
  <c r="H8" i="17"/>
  <c r="H4" i="17"/>
  <c r="H3" i="17"/>
  <c r="H2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1" i="17"/>
  <c r="U8" i="22" l="1"/>
  <c r="U7" i="22"/>
  <c r="R8" i="22"/>
  <c r="R7" i="22"/>
  <c r="J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E46" i="17"/>
  <c r="B61" i="17" l="1"/>
  <c r="B59" i="17" l="1"/>
  <c r="E44" i="17"/>
  <c r="D2" i="22" l="1"/>
  <c r="A2" i="22"/>
  <c r="B62" i="17"/>
  <c r="B60" i="17"/>
  <c r="B58" i="17"/>
  <c r="B57" i="17"/>
  <c r="B56" i="17"/>
  <c r="U49" i="17"/>
  <c r="T49" i="17"/>
  <c r="N49" i="17"/>
  <c r="M49" i="17"/>
  <c r="L49" i="17"/>
  <c r="K49" i="17"/>
  <c r="E49" i="17"/>
  <c r="U47" i="17"/>
  <c r="T47" i="17"/>
  <c r="N47" i="17"/>
  <c r="M47" i="17"/>
  <c r="L47" i="17"/>
  <c r="K47" i="17"/>
  <c r="E47" i="17"/>
  <c r="U46" i="17"/>
  <c r="T46" i="17"/>
  <c r="N46" i="17"/>
  <c r="M46" i="17"/>
  <c r="L46" i="17"/>
  <c r="K46" i="17"/>
  <c r="U45" i="17"/>
  <c r="T45" i="17"/>
  <c r="N45" i="17"/>
  <c r="M45" i="17"/>
  <c r="L45" i="17"/>
  <c r="K45" i="17"/>
  <c r="E45" i="17"/>
  <c r="U44" i="17"/>
  <c r="T44" i="17"/>
  <c r="N44" i="17"/>
  <c r="M44" i="17"/>
  <c r="L44" i="17"/>
  <c r="K44" i="17"/>
  <c r="U43" i="17"/>
  <c r="T43" i="17"/>
  <c r="N43" i="17"/>
  <c r="M43" i="17"/>
  <c r="L43" i="17"/>
  <c r="K43" i="17"/>
  <c r="E43" i="17"/>
  <c r="U42" i="17"/>
  <c r="T42" i="17"/>
  <c r="N42" i="17"/>
  <c r="M42" i="17"/>
  <c r="L42" i="17"/>
  <c r="K42" i="17"/>
  <c r="E42" i="17"/>
  <c r="U41" i="17"/>
  <c r="T41" i="17"/>
  <c r="N41" i="17"/>
  <c r="M41" i="17"/>
  <c r="L41" i="17"/>
  <c r="K41" i="17"/>
  <c r="E41" i="17"/>
  <c r="R47" i="17"/>
  <c r="S46" i="17"/>
  <c r="P41" i="17"/>
  <c r="L48" i="17" l="1"/>
  <c r="B63" i="17"/>
  <c r="C63" i="17" s="1"/>
  <c r="K48" i="17"/>
  <c r="M48" i="17"/>
  <c r="E48" i="17"/>
  <c r="J52" i="17"/>
  <c r="K52" i="17" s="1"/>
  <c r="L52" i="17" s="1"/>
  <c r="M52" i="17" s="1"/>
  <c r="N52" i="17" s="1"/>
  <c r="O52" i="17" s="1"/>
  <c r="P52" i="17" s="1"/>
  <c r="Q52" i="17" s="1"/>
  <c r="R52" i="17" s="1"/>
  <c r="S52" i="17" s="1"/>
  <c r="T52" i="17" s="1"/>
  <c r="U52" i="17" s="1"/>
  <c r="N48" i="17"/>
  <c r="R41" i="17"/>
  <c r="U48" i="17"/>
  <c r="F49" i="17"/>
  <c r="J2" i="22" s="1"/>
  <c r="C60" i="17"/>
  <c r="C61" i="17"/>
  <c r="P46" i="17"/>
  <c r="F46" i="17"/>
  <c r="R46" i="17"/>
  <c r="C59" i="17"/>
  <c r="C57" i="17"/>
  <c r="C58" i="17"/>
  <c r="C62" i="17"/>
  <c r="T48" i="17"/>
  <c r="C56" i="17"/>
  <c r="Q41" i="17"/>
  <c r="F43" i="17"/>
  <c r="R43" i="17"/>
  <c r="R45" i="17"/>
  <c r="Q46" i="17"/>
  <c r="F47" i="17"/>
  <c r="F42" i="17"/>
  <c r="O43" i="17"/>
  <c r="R49" i="17"/>
  <c r="O42" i="17"/>
  <c r="Q42" i="17"/>
  <c r="Q44" i="17"/>
  <c r="Q45" i="17"/>
  <c r="P45" i="17"/>
  <c r="O47" i="17"/>
  <c r="P44" i="17"/>
  <c r="F44" i="17"/>
  <c r="Q47" i="17"/>
  <c r="F41" i="17"/>
  <c r="P42" i="17"/>
  <c r="R42" i="17"/>
  <c r="Q43" i="17"/>
  <c r="P43" i="17"/>
  <c r="R44" i="17"/>
  <c r="F45" i="17"/>
  <c r="O46" i="17"/>
  <c r="O44" i="17"/>
  <c r="P47" i="17"/>
  <c r="O49" i="17"/>
  <c r="O41" i="17"/>
  <c r="O45" i="17"/>
  <c r="P49" i="17"/>
  <c r="Q49" i="17"/>
  <c r="S47" i="17"/>
  <c r="S45" i="17"/>
  <c r="S44" i="17"/>
  <c r="S43" i="17"/>
  <c r="S42" i="17"/>
  <c r="S41" i="17"/>
  <c r="S49" i="17"/>
  <c r="Q48" i="17" l="1"/>
  <c r="O48" i="17"/>
  <c r="R48" i="17"/>
  <c r="F48" i="17"/>
  <c r="P48" i="17"/>
  <c r="S48" i="17"/>
  <c r="D2" i="17"/>
  <c r="G2" i="17" l="1"/>
  <c r="D3" i="17"/>
  <c r="J41" i="17" l="1"/>
  <c r="D41" i="17"/>
  <c r="G3" i="17"/>
  <c r="G41" i="17" l="1"/>
  <c r="D4" i="17"/>
  <c r="G4" i="17" l="1"/>
  <c r="D5" i="17"/>
  <c r="G5" i="17" s="1"/>
  <c r="D6" i="17" l="1"/>
  <c r="G6" i="17" l="1"/>
  <c r="D7" i="17" l="1"/>
  <c r="G7" i="17" l="1"/>
  <c r="D8" i="17" l="1"/>
  <c r="J42" i="17"/>
  <c r="D42" i="17" l="1"/>
  <c r="G8" i="17"/>
  <c r="G42" i="17" l="1"/>
  <c r="D9" i="17" l="1"/>
  <c r="G9" i="17" l="1"/>
  <c r="D10" i="17"/>
  <c r="G10" i="17" l="1"/>
  <c r="D11" i="17"/>
  <c r="G11" i="17" l="1"/>
  <c r="D12" i="17" l="1"/>
  <c r="G12" i="17" l="1"/>
  <c r="D13" i="17"/>
  <c r="D43" i="17" s="1"/>
  <c r="G43" i="17" l="1"/>
  <c r="G13" i="17"/>
  <c r="J43" i="17"/>
  <c r="D14" i="17"/>
  <c r="G14" i="17" s="1"/>
  <c r="D15" i="17" l="1"/>
  <c r="G15" i="17" l="1"/>
  <c r="D16" i="17"/>
  <c r="G16" i="17" l="1"/>
  <c r="D17" i="17"/>
  <c r="G17" i="17" l="1"/>
  <c r="D18" i="17" l="1"/>
  <c r="G18" i="17" l="1"/>
  <c r="D19" i="17" l="1"/>
  <c r="G19" i="17" l="1"/>
  <c r="D20" i="17"/>
  <c r="G20" i="17" l="1"/>
  <c r="D21" i="17" l="1"/>
  <c r="G21" i="17" l="1"/>
  <c r="D22" i="17"/>
  <c r="G22" i="17" l="1"/>
  <c r="D23" i="17"/>
  <c r="G23" i="17" l="1"/>
  <c r="J44" i="17"/>
  <c r="D24" i="17" l="1"/>
  <c r="G24" i="17" l="1"/>
  <c r="D25" i="17"/>
  <c r="G25" i="17" s="1"/>
  <c r="D26" i="17" l="1"/>
  <c r="D44" i="17" s="1"/>
  <c r="G44" i="17" l="1"/>
  <c r="G26" i="17"/>
  <c r="D27" i="17"/>
  <c r="G27" i="17" l="1"/>
  <c r="D28" i="17"/>
  <c r="D29" i="17"/>
  <c r="G29" i="17" l="1"/>
  <c r="G28" i="17"/>
  <c r="D30" i="17" l="1"/>
  <c r="D31" i="17" l="1"/>
  <c r="G30" i="17"/>
  <c r="D32" i="17" l="1"/>
  <c r="G31" i="17"/>
  <c r="J45" i="17"/>
  <c r="G32" i="17" l="1"/>
  <c r="D45" i="17"/>
  <c r="D33" i="17"/>
  <c r="S2" i="22" s="1"/>
  <c r="J46" i="17"/>
  <c r="G33" i="17" l="1"/>
  <c r="D34" i="17"/>
  <c r="G45" i="17"/>
  <c r="G34" i="17" l="1"/>
  <c r="D35" i="17" l="1"/>
  <c r="D36" i="17"/>
  <c r="J47" i="17" l="1"/>
  <c r="J48" i="17" s="1"/>
  <c r="P2" i="22"/>
  <c r="G36" i="17"/>
  <c r="D37" i="17"/>
  <c r="D38" i="17"/>
  <c r="J49" i="17"/>
  <c r="J50" i="17" s="1"/>
  <c r="K50" i="17" s="1"/>
  <c r="L50" i="17" s="1"/>
  <c r="M50" i="17" s="1"/>
  <c r="N50" i="17" s="1"/>
  <c r="O50" i="17" s="1"/>
  <c r="P50" i="17" s="1"/>
  <c r="Q50" i="17" s="1"/>
  <c r="R50" i="17" s="1"/>
  <c r="S50" i="17" s="1"/>
  <c r="T50" i="17" s="1"/>
  <c r="U50" i="17" s="1"/>
  <c r="G35" i="17"/>
  <c r="D46" i="17"/>
  <c r="D39" i="17" l="1"/>
  <c r="D47" i="17" s="1"/>
  <c r="D48" i="17" s="1"/>
  <c r="G48" i="17" s="1"/>
  <c r="G38" i="17"/>
  <c r="G46" i="17"/>
  <c r="G37" i="17"/>
  <c r="G47" i="17" l="1"/>
  <c r="G39" i="17"/>
  <c r="D49" i="17"/>
  <c r="J7" i="22" l="1"/>
  <c r="G49" i="17"/>
  <c r="M7" i="22" l="1"/>
  <c r="V2" i="22" s="1"/>
  <c r="H42" i="17"/>
  <c r="A7" i="22"/>
  <c r="B52" i="17"/>
  <c r="G2" i="22" s="1"/>
  <c r="H49" i="17"/>
  <c r="H44" i="17"/>
  <c r="H45" i="17"/>
  <c r="D7" i="22"/>
  <c r="H41" i="17"/>
  <c r="H46" i="17"/>
  <c r="H47" i="17"/>
  <c r="H43" i="17"/>
  <c r="G7" i="22" l="1"/>
  <c r="J51" i="17" s="1"/>
  <c r="K51" i="17" s="1"/>
  <c r="L51" i="17" s="1"/>
  <c r="M51" i="17" s="1"/>
  <c r="N51" i="17" s="1"/>
  <c r="O51" i="17" s="1"/>
  <c r="P51" i="17" s="1"/>
  <c r="Q51" i="17" s="1"/>
  <c r="R51" i="17" s="1"/>
  <c r="S51" i="17" s="1"/>
  <c r="T51" i="17" s="1"/>
  <c r="U51" i="17" s="1"/>
  <c r="H48" i="17"/>
</calcChain>
</file>

<file path=xl/sharedStrings.xml><?xml version="1.0" encoding="utf-8"?>
<sst xmlns="http://schemas.openxmlformats.org/spreadsheetml/2006/main" count="211" uniqueCount="105">
  <si>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</si>
  <si>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</si>
  <si>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</si>
  <si>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</si>
  <si>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</si>
  <si>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</si>
  <si>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</si>
  <si>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</si>
  <si>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</si>
  <si>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</si>
  <si>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</si>
  <si>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</si>
  <si>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</si>
  <si>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</si>
  <si>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</si>
  <si>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</si>
  <si>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</si>
  <si>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</si>
  <si>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</si>
  <si>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</si>
  <si>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</si>
  <si>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</si>
  <si>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</si>
  <si>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</si>
  <si>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</si>
  <si>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</si>
  <si>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</si>
  <si>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</si>
  <si>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</si>
  <si>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</si>
  <si>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</si>
  <si>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</si>
  <si>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</si>
  <si>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</si>
  <si>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</si>
  <si>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</si>
  <si>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</si>
  <si>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</si>
  <si>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</si>
  <si>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</si>
  <si>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</si>
  <si>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</si>
  <si>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</si>
  <si>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</si>
  <si>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</si>
  <si>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</si>
  <si>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</si>
  <si>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</si>
  <si>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</si>
  <si>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</si>
  <si>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</si>
  <si>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</si>
  <si>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</si>
  <si>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</si>
  <si>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</si>
  <si>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</si>
  <si>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</si>
  <si>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</si>
  <si>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</si>
  <si>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</si>
  <si>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</si>
  <si>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</si>
  <si>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</si>
  <si>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</si>
  <si>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</si>
  <si>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</si>
  <si>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</si>
  <si>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</si>
  <si>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</si>
  <si>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</si>
  <si>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</si>
  <si>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</si>
  <si>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</si>
  <si>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</si>
  <si>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</si>
  <si>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</si>
  <si>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</si>
  <si>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</si>
  <si>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</si>
  <si>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</si>
  <si>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</si>
  <si>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</si>
  <si>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</si>
  <si>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</si>
  <si>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</si>
  <si>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</si>
  <si>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</si>
  <si>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</si>
  <si>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</si>
  <si>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</si>
  <si>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</si>
  <si>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</si>
  <si>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</si>
  <si>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</si>
  <si>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</si>
  <si>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</si>
  <si>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</si>
  <si>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</si>
  <si>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</si>
  <si>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</si>
  <si>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</si>
  <si>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</si>
  <si>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</si>
  <si>
    <t>Month (string)</t>
  </si>
  <si>
    <t>Month (int)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</si>
</sst>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8" fillId="12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7" fillId="11" borderId="0" xfId="2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ccent1" xfId="3" builtinId="29"/>
    <cellStyle name="Bad" xfId="5" builtinId="27"/>
    <cellStyle name="Good" xfId="4" builtinId="26"/>
    <cellStyle name="Neutral" xfId="2" builtinId="28"/>
    <cellStyle name="Normal" xfId="0" builtinId="0"/>
    <cellStyle name="Total" xfId="1" builtinId="25"/>
  </cellStyles>
  <dxfs count="57"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Annual!$AA$2:$AA$39</c15:sqref>
                  </c15:fullRef>
                </c:ext>
              </c:extLst>
              <c:f>Annual!$AA$4:$AA$39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Annual!$J$42:$U$42</c:f>
              <c:numCache>
                <c:formatCode>#,##0.00\ [$€-407];[Red]\-#,##0.00\ [$€-407]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#,##0.00\ [$€-407];[Red]\-#,##0.00\ [$€-407]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Annual!$J$46:$U$46</c:f>
              <c:numCache>
                <c:formatCode>#,##0.00\ [$€-407];[Red]\-#,##0.00\ [$€-407]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#,##0.00\ [$€-407];[Red]\-#,##0.00\ [$€-407]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Annual!$J$47:$U$47</c:f>
              <c:numCache>
                <c:formatCode>#,##0.00\ [$€-407];[Red]\-#,##0.00\ [$€-407]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#,##0.00\ [$€-407];[Red]\-#,##0.00\ [$€-407]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Annual!$J$49:$U$49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Annual!$I$50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Annual!$J$50:$U$50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Annual!$I$51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Annual!$J$51:$U$51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Annual!$I$52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Annual!$J$52:$U$52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Annual!$J$41:$U$41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#,##0.00\ [$€-407];[Red]\-#,##0.00\ [$€-407]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Annual!$J$48:$U$48</c:f>
              <c:numCache>
                <c:formatCode>#,##0.00\ [$€-407];[Red]\-#,##0.00\ [$€-407]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Annual!$J$41:$U$41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Annual!$J$43:$U$43</c:f>
              <c:numCache>
                <c:formatCode>#,##0.00\ [$€-407];[Red]\-#,##0.00\ [$€-407]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#,##0.00\ [$€-407];[Red]\-#,##0.00\ [$€-407]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Annual!$J$44:$U$44</c:f>
              <c:numCache>
                <c:formatCode>#,##0.00\ [$€-407];[Red]\-#,##0.00\ [$€-407]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#,##0.00\ [$€-407];[Red]\-#,##0.00\ [$€-407]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Annual!$J$45:$U$45</c:f>
              <c:numCache>
                <c:formatCode>#,##0.00\ [$€-407];[Red]\-#,##0.00\ [$€-407]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#,##0.00\ [$€-407];[Red]\-#,##0.00\ [$€-407]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#,##0.00\ [$€-407];[Red]\-#,##0.00\ [$€-407]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#,##0.00\ [$€-407];[Red]\-#,##0.00\ [$€-407]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#,##0.00\ [$€-407];[Red]\-#,##0.00\ [$€-407]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36" dataDxfId="35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34"/>
    <tableColumn id="3" xr3:uid="{00000000-0010-0000-0000-000003000000}" name="Sub-Category" dataDxfId="33"/>
    <tableColumn id="4" xr3:uid="{00000000-0010-0000-0000-000004000000}" name="Actual" dataDxfId="32"/>
    <tableColumn id="7" xr3:uid="{00000000-0010-0000-0000-000007000000}" name="Monthly Budget" dataDxfId="31"/>
    <tableColumn id="5" xr3:uid="{00000000-0010-0000-0000-000005000000}" name="Annual Budget" dataDxfId="30"/>
    <tableColumn id="9" xr3:uid="{00000000-0010-0000-0000-000009000000}" name="Actual/AB" dataDxfId="29">
      <calculatedColumnFormula>Table_AnnualReport[[#This Row],[Actual]]/Table_AnnualReport[[#This Row],[Annual Budget]]</calculatedColumnFormula>
    </tableColumn>
    <tableColumn id="8" xr3:uid="{00000000-0010-0000-0000-000008000000}" name="Monthly Avg" dataDxfId="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J1:U39" headerRowDxfId="27">
  <autoFilter ref="J1:U39" xr:uid="{00000000-0009-0000-0100-000007000000}"/>
  <tableColumns count="12"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26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25">
      <calculatedColumnFormula>#REF!</calculatedColumnFormula>
    </tableColumn>
    <tableColumn id="11" xr3:uid="{00000000-0010-0000-0100-00000B000000}" name="November" dataDxfId="24">
      <calculatedColumnFormula>#REF!</calculatedColumnFormula>
    </tableColumn>
    <tableColumn id="12" xr3:uid="{00000000-0010-0000-0100-00000C000000}" name="December" dataDxfId="2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22">
  <autoFilter ref="A55:C63" xr:uid="{00000000-0009-0000-0100-00000C000000}"/>
  <tableColumns count="3">
    <tableColumn id="1" xr3:uid="{00000000-0010-0000-0200-000001000000}" name="Main Category" dataDxfId="21"/>
    <tableColumn id="2" xr3:uid="{00000000-0010-0000-0200-000002000000}" name="Budget" dataDxfId="20"/>
    <tableColumn id="3" xr3:uid="{00000000-0010-0000-0200-000003000000}" name="Budget/Income" dataDxfId="1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A59276-5EC7-4A37-8C76-2E0A6809F9CC}" name="Tabelle3" displayName="Tabelle3" ref="A83:B95" totalsRowShown="0" headerRowDxfId="18">
  <autoFilter ref="A83:B95" xr:uid="{460F16C2-E545-4A79-BB10-C145645D506F}"/>
  <tableColumns count="2">
    <tableColumn id="1" xr3:uid="{C92E7361-2988-4B84-8B47-2F77D72B13E9}" name="Month (string)" dataDxfId="17"/>
    <tableColumn id="2" xr3:uid="{E223CA47-7BFB-4409-9BB2-A8886DB4BBEE}" name="Month (i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16"/>
    <tableColumn id="1" xr3:uid="{00000000-0010-0000-0300-000001000000}" name="Transactions" totalsRowLabel="Ergebnis"/>
    <tableColumn id="2" xr3:uid="{00000000-0010-0000-0300-000002000000}" name="Amount" dataDxfId="15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14" headerRowBorderDxfId="13" tableBorderDxfId="12">
  <autoFilter ref="A1:F39" xr:uid="{777A7CB9-B583-482F-8100-3DCC235EB3CE}"/>
  <tableColumns count="6">
    <tableColumn id="1" xr3:uid="{19F65E7E-B926-4705-A926-E2B230B4FD75}" name="Income/Expense" dataDxfId="11"/>
    <tableColumn id="2" xr3:uid="{69982484-773E-47AD-8BC1-5D6F57C256E6}" name="Main Category" dataDxfId="10"/>
    <tableColumn id="3" xr3:uid="{DA70CAFC-C9BD-4BE5-AFE1-DCB2C9E521A9}" name="Sub-Category" dataDxfId="9"/>
    <tableColumn id="4" xr3:uid="{5041CA0D-0558-468B-B70E-CEC6FC6886D3}" name="Actual" dataDxfId="8"/>
    <tableColumn id="5" xr3:uid="{E567F311-E118-4B70-92F5-08F704D04CB6}" name="Monthly Budget" dataDxfId="7"/>
    <tableColumn id="6" xr3:uid="{81A83B08-F856-49C4-9B0B-E42DCF42A5B5}" name="Difference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5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4"/>
    <tableColumn id="3" xr3:uid="{61A0B90E-66BF-413F-9677-C6346E7B958A}" name="Budget" dataDxfId="3"/>
    <tableColumn id="4" xr3:uid="{ADF22657-F362-462E-986A-23DA82A6F1C3}" name="Difference" dataDxfId="2"/>
    <tableColumn id="5" xr3:uid="{65B96605-4353-46D1-BB69-B937B66A2C9F}" name="MC/Expense" dataDxfId="1"/>
    <tableColumn id="6" xr3:uid="{76A6827B-EDA2-4F40-AEE7-D38A1667606F}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30" sqref="U30"/>
    </sheetView>
  </sheetViews>
  <sheetFormatPr defaultColWidth="11.44140625" defaultRowHeight="14.4" x14ac:dyDescent="0.3"/>
  <sheetData>
    <row r="1" spans="1:23" x14ac:dyDescent="0.3">
      <c r="A1" s="107" t="s">
        <v>78</v>
      </c>
      <c r="B1" s="107"/>
      <c r="D1" s="107" t="s">
        <v>79</v>
      </c>
      <c r="E1" s="107"/>
      <c r="G1" s="107" t="s">
        <v>72</v>
      </c>
      <c r="H1" s="107"/>
      <c r="J1" s="107" t="s">
        <v>84</v>
      </c>
      <c r="K1" s="107"/>
      <c r="M1" s="107" t="s">
        <v>67</v>
      </c>
      <c r="N1" s="107"/>
      <c r="P1" s="107" t="s">
        <v>90</v>
      </c>
      <c r="Q1" s="107"/>
      <c r="S1" s="107" t="s">
        <v>98</v>
      </c>
      <c r="T1" s="107"/>
      <c r="V1" s="107" t="s">
        <v>102</v>
      </c>
      <c r="W1" s="107"/>
    </row>
    <row r="2" spans="1:23" x14ac:dyDescent="0.3">
      <c r="A2" s="109">
        <f>SUM(Annual!E2:E3)</f>
        <v>2100</v>
      </c>
      <c r="B2" s="109"/>
      <c r="D2" s="109">
        <f>SUM(Annual!E4:E39)</f>
        <v>1981.03</v>
      </c>
      <c r="E2" s="109"/>
      <c r="G2" s="109">
        <f>(J2-J7)/Annual!B52</f>
        <v>70.148181818182096</v>
      </c>
      <c r="H2" s="109"/>
      <c r="J2" s="109">
        <f>Annual!F49</f>
        <v>1427.6400000000031</v>
      </c>
      <c r="K2" s="109"/>
      <c r="M2" s="109">
        <v>1000</v>
      </c>
      <c r="N2" s="109"/>
      <c r="P2" s="109">
        <f>Annual!D36</f>
        <v>50</v>
      </c>
      <c r="Q2" s="109"/>
      <c r="S2" s="109">
        <f>Annual!D33</f>
        <v>100</v>
      </c>
      <c r="T2" s="109"/>
      <c r="V2" s="109">
        <f>M7+P7+S7</f>
        <v>1818.01</v>
      </c>
      <c r="W2" s="109"/>
    </row>
    <row r="3" spans="1:23" x14ac:dyDescent="0.3">
      <c r="A3" s="109"/>
      <c r="B3" s="109"/>
      <c r="D3" s="109"/>
      <c r="E3" s="109"/>
      <c r="G3" s="109"/>
      <c r="H3" s="109"/>
      <c r="J3" s="109"/>
      <c r="K3" s="109"/>
      <c r="M3" s="109"/>
      <c r="N3" s="109"/>
      <c r="P3" s="109"/>
      <c r="Q3" s="109"/>
      <c r="S3" s="109"/>
      <c r="T3" s="109"/>
      <c r="V3" s="109"/>
      <c r="W3" s="109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7" t="s">
        <v>76</v>
      </c>
      <c r="B6" s="107"/>
      <c r="D6" s="107" t="s">
        <v>77</v>
      </c>
      <c r="E6" s="107"/>
      <c r="G6" s="107" t="s">
        <v>66</v>
      </c>
      <c r="H6" s="107"/>
      <c r="J6" s="107" t="s">
        <v>65</v>
      </c>
      <c r="K6" s="107"/>
      <c r="M6" s="107" t="s">
        <v>68</v>
      </c>
      <c r="N6" s="107"/>
      <c r="P6" s="107" t="s">
        <v>91</v>
      </c>
      <c r="Q6" s="107"/>
      <c r="S6" s="107" t="s">
        <v>97</v>
      </c>
      <c r="T6" s="107"/>
    </row>
    <row r="7" spans="1:23" x14ac:dyDescent="0.3">
      <c r="A7" s="110">
        <f>SUM(Annual!D2:D3)/Annual!B51</f>
        <v>2000</v>
      </c>
      <c r="B7" s="110"/>
      <c r="D7" s="111">
        <f>SUM(Annual!D4:D39)/Annual!B51</f>
        <v>1343.99</v>
      </c>
      <c r="E7" s="111"/>
      <c r="G7" s="108">
        <f>A7-D7</f>
        <v>656.01</v>
      </c>
      <c r="H7" s="108"/>
      <c r="J7" s="108">
        <f>Annual!D49</f>
        <v>656.01</v>
      </c>
      <c r="K7" s="108"/>
      <c r="M7" s="108">
        <f>M2+J7</f>
        <v>1656.01</v>
      </c>
      <c r="N7" s="108"/>
      <c r="P7" s="108">
        <v>65</v>
      </c>
      <c r="Q7" s="108"/>
      <c r="R7" s="105">
        <f>P7-P2</f>
        <v>15</v>
      </c>
      <c r="S7" s="108">
        <v>97</v>
      </c>
      <c r="T7" s="108"/>
      <c r="U7" s="105">
        <f>S7-S2</f>
        <v>-3</v>
      </c>
    </row>
    <row r="8" spans="1:23" x14ac:dyDescent="0.3">
      <c r="A8" s="110"/>
      <c r="B8" s="110"/>
      <c r="D8" s="111"/>
      <c r="E8" s="111"/>
      <c r="G8" s="108"/>
      <c r="H8" s="108"/>
      <c r="J8" s="108"/>
      <c r="K8" s="108"/>
      <c r="M8" s="108"/>
      <c r="N8" s="108"/>
      <c r="P8" s="108"/>
      <c r="Q8" s="108"/>
      <c r="R8" s="106">
        <f>R7/P2</f>
        <v>0.3</v>
      </c>
      <c r="S8" s="108"/>
      <c r="T8" s="108"/>
      <c r="U8" s="106">
        <f>U7/S2</f>
        <v>-0.03</v>
      </c>
    </row>
  </sheetData>
  <mergeCells count="30">
    <mergeCell ref="V1:W1"/>
    <mergeCell ref="V2:W3"/>
    <mergeCell ref="P1:Q1"/>
    <mergeCell ref="P2:Q3"/>
    <mergeCell ref="P6:Q6"/>
    <mergeCell ref="P7:Q8"/>
    <mergeCell ref="S1:T1"/>
    <mergeCell ref="S2:T3"/>
    <mergeCell ref="S6:T6"/>
    <mergeCell ref="S7:T8"/>
    <mergeCell ref="M1:N1"/>
    <mergeCell ref="M2:N3"/>
    <mergeCell ref="M6:N6"/>
    <mergeCell ref="M7:N8"/>
    <mergeCell ref="J7:K8"/>
    <mergeCell ref="J1:K1"/>
    <mergeCell ref="J6:K6"/>
    <mergeCell ref="J2:K3"/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</mergeCells>
  <conditionalFormatting sqref="J7:K8">
    <cfRule type="cellIs" dxfId="56" priority="23" operator="lessThan">
      <formula>$J$2</formula>
    </cfRule>
    <cfRule type="cellIs" dxfId="55" priority="24" operator="greaterThanOrEqual">
      <formula>$J$2</formula>
    </cfRule>
  </conditionalFormatting>
  <conditionalFormatting sqref="G7:H8">
    <cfRule type="cellIs" dxfId="54" priority="15" operator="lessThan">
      <formula>$G$2</formula>
    </cfRule>
    <cfRule type="cellIs" dxfId="53" priority="16" operator="greaterThanOrEqual">
      <formula>$G$2</formula>
    </cfRule>
  </conditionalFormatting>
  <conditionalFormatting sqref="M7">
    <cfRule type="cellIs" dxfId="52" priority="31" operator="lessThan">
      <formula>$M$2+$J$2</formula>
    </cfRule>
    <cfRule type="cellIs" dxfId="51" priority="32" operator="greaterThanOrEqual">
      <formula>$M$2+$J$2</formula>
    </cfRule>
  </conditionalFormatting>
  <conditionalFormatting sqref="A7:B8">
    <cfRule type="cellIs" dxfId="50" priority="9" operator="lessThan">
      <formula>$A$2</formula>
    </cfRule>
    <cfRule type="cellIs" dxfId="49" priority="10" operator="greaterThanOrEqual">
      <formula>$A$2</formula>
    </cfRule>
  </conditionalFormatting>
  <conditionalFormatting sqref="D7:E8">
    <cfRule type="cellIs" dxfId="48" priority="7" operator="greaterThan">
      <formula>$D$2</formula>
    </cfRule>
    <cfRule type="cellIs" dxfId="47" priority="8" operator="lessThanOrEqual">
      <formula>$D$2</formula>
    </cfRule>
  </conditionalFormatting>
  <conditionalFormatting sqref="P7">
    <cfRule type="cellIs" dxfId="46" priority="5" operator="lessThan">
      <formula>$P$2</formula>
    </cfRule>
    <cfRule type="cellIs" dxfId="45" priority="6" operator="greaterThanOrEqual">
      <formula>$P$2</formula>
    </cfRule>
  </conditionalFormatting>
  <conditionalFormatting sqref="S7">
    <cfRule type="cellIs" dxfId="44" priority="3" operator="lessThan">
      <formula>$S$2</formula>
    </cfRule>
    <cfRule type="cellIs" dxfId="43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A95"/>
  <sheetViews>
    <sheetView tabSelected="1" zoomScale="80" zoomScaleNormal="80" workbookViewId="0">
      <pane xSplit="5" ySplit="1" topLeftCell="F20" activePane="bottomRight" state="frozen"/>
      <selection pane="topRight" activeCell="F1" sqref="F1"/>
      <selection pane="bottomLeft" activeCell="A2" sqref="A2"/>
      <selection pane="bottomRight" activeCell="I38" sqref="I38"/>
    </sheetView>
  </sheetViews>
  <sheetFormatPr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8" max="18" width="13.33203125" bestFit="1" customWidth="1"/>
    <col min="20" max="20" width="12.88671875" bestFit="1" customWidth="1"/>
    <col min="21" max="21" width="12.6640625" bestFit="1" customWidth="1"/>
    <col min="27" max="27" width="11.5546875" customWidth="1"/>
  </cols>
  <sheetData>
    <row r="1" spans="1:27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J1" s="1" t="s">
        <v>82</v>
      </c>
      <c r="K1" s="1" t="s">
        <v>83</v>
      </c>
      <c r="L1" s="1" t="s">
        <v>58</v>
      </c>
      <c r="M1" s="1" t="s">
        <v>36</v>
      </c>
      <c r="N1" s="1" t="s">
        <v>42</v>
      </c>
      <c r="O1" s="1" t="s">
        <v>49</v>
      </c>
      <c r="P1" s="1" t="s">
        <v>57</v>
      </c>
      <c r="Q1" s="1" t="s">
        <v>59</v>
      </c>
      <c r="R1" s="1" t="s">
        <v>60</v>
      </c>
      <c r="S1" s="1" t="s">
        <v>61</v>
      </c>
      <c r="T1" s="1" t="s">
        <v>62</v>
      </c>
      <c r="U1" s="1" t="s">
        <v>63</v>
      </c>
      <c r="AA1" s="65">
        <v>1</v>
      </c>
    </row>
    <row r="2" spans="1:27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Budget]]*$B$53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Row],[Actual]]/$B$51</f>
        <v>2000</v>
      </c>
      <c r="J2" s="29">
        <f>January!D2</f>
        <v>2000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AA2">
        <v>1</v>
      </c>
    </row>
    <row r="3" spans="1:27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Budget]]*$B$53</f>
        <v>1200</v>
      </c>
      <c r="G3" s="8">
        <f>Table_AnnualReport[[#This Row],[Actual]]/Table_AnnualReport[[#This Row],[Annual Budget]]</f>
        <v>0</v>
      </c>
      <c r="H3" s="29">
        <f>Table_AnnualReport[[#This Row],[Actual]]/$B$51</f>
        <v>0</v>
      </c>
      <c r="J3" s="29">
        <f>January!D3</f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AA3">
        <v>1</v>
      </c>
    </row>
    <row r="4" spans="1:27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Budget]]*$B$53</f>
        <v>1200</v>
      </c>
      <c r="G4" s="9">
        <f>Table_AnnualReport[[#This Row],[Actual]]/Table_AnnualReport[[#This Row],[Annual Budget]]</f>
        <v>0</v>
      </c>
      <c r="H4" s="30">
        <f>Table_AnnualReport[[#This Row],[Actual]]/$B$51</f>
        <v>0</v>
      </c>
      <c r="J4" s="30">
        <f>January!D4</f>
        <v>0</v>
      </c>
      <c r="K4" s="30">
        <v>0</v>
      </c>
      <c r="L4" s="30">
        <v>0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AA4">
        <v>1</v>
      </c>
    </row>
    <row r="5" spans="1:27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Budget]]*$B$53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Row],[Actual]]/$B$51</f>
        <v>70</v>
      </c>
      <c r="J5" s="30">
        <f>January!D5</f>
        <v>70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AA5" s="4">
        <v>1</v>
      </c>
    </row>
    <row r="6" spans="1:27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Budget]]*$B$53</f>
        <v>240</v>
      </c>
      <c r="G6" s="9">
        <f>Table_AnnualReport[[#This Row],[Actual]]/Table_AnnualReport[[#This Row],[Annual Budget]]</f>
        <v>0</v>
      </c>
      <c r="H6" s="30">
        <f>Table_AnnualReport[[#This Row],[Actual]]/$B$51</f>
        <v>0</v>
      </c>
      <c r="J6" s="30">
        <f>January!D6</f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AA6" s="4">
        <v>1</v>
      </c>
    </row>
    <row r="7" spans="1:27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Budget]]*$B$53</f>
        <v>1200</v>
      </c>
      <c r="G7" s="9">
        <f>Table_AnnualReport[[#This Row],[Actual]]/Table_AnnualReport[[#This Row],[Annual Budget]]</f>
        <v>0</v>
      </c>
      <c r="H7" s="30">
        <f>Table_AnnualReport[[#This Row],[Actual]]/$B$51</f>
        <v>0</v>
      </c>
      <c r="J7" s="30">
        <f>January!D7</f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AA7" s="4">
        <v>1</v>
      </c>
    </row>
    <row r="8" spans="1:27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Budget]]*$B$53</f>
        <v>0.12</v>
      </c>
      <c r="G8" s="9">
        <f>Table_AnnualReport[[#This Row],[Actual]]/Table_AnnualReport[[#This Row],[Annual Budget]]</f>
        <v>0</v>
      </c>
      <c r="H8" s="30">
        <f>Table_AnnualReport[[#This Row],[Actual]]/$B$51</f>
        <v>0</v>
      </c>
      <c r="J8" s="30">
        <f>January!D8</f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AA8" s="4">
        <v>1</v>
      </c>
    </row>
    <row r="9" spans="1:27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Budget]]*$B$53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Row],[Actual]]/$B$51</f>
        <v>300</v>
      </c>
      <c r="J9" s="31">
        <f>January!D9</f>
        <v>300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AA9" s="4">
        <v>1</v>
      </c>
    </row>
    <row r="10" spans="1:27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Budget]]*$B$53</f>
        <v>360</v>
      </c>
      <c r="G10" s="94">
        <f>Table_AnnualReport[[#This Row],[Actual]]/Table_AnnualReport[[#This Row],[Annual Budget]]</f>
        <v>0</v>
      </c>
      <c r="H10" s="31">
        <f>Table_AnnualReport[[#This Row],[Actual]]/$B$51</f>
        <v>0</v>
      </c>
      <c r="J10" s="31">
        <f>January!D10</f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AA10" s="4">
        <v>1</v>
      </c>
    </row>
    <row r="11" spans="1:27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Budget]]*$B$53</f>
        <v>72</v>
      </c>
      <c r="G11" s="94">
        <f>Table_AnnualReport[[#This Row],[Actual]]/Table_AnnualReport[[#This Row],[Annual Budget]]</f>
        <v>0</v>
      </c>
      <c r="H11" s="31">
        <f>Table_AnnualReport[[#This Row],[Actual]]/$B$51</f>
        <v>0</v>
      </c>
      <c r="J11" s="31">
        <f>January!D11</f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AA11" s="4">
        <v>1</v>
      </c>
    </row>
    <row r="12" spans="1:27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Budget]]*$B$53</f>
        <v>120</v>
      </c>
      <c r="G12" s="94">
        <f>Table_AnnualReport[[#This Row],[Actual]]/Table_AnnualReport[[#This Row],[Annual Budget]]</f>
        <v>0</v>
      </c>
      <c r="H12" s="31">
        <f>Table_AnnualReport[[#This Row],[Actual]]/$B$51</f>
        <v>0</v>
      </c>
      <c r="J12" s="31">
        <f>January!D12</f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AA12" s="4">
        <v>1</v>
      </c>
    </row>
    <row r="13" spans="1:27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Budget]]*$B$53</f>
        <v>120</v>
      </c>
      <c r="G13" s="94">
        <f>Table_AnnualReport[[#This Row],[Actual]]/Table_AnnualReport[[#This Row],[Annual Budget]]</f>
        <v>0</v>
      </c>
      <c r="H13" s="31">
        <f>Table_AnnualReport[[#This Row],[Actual]]/$B$51</f>
        <v>0</v>
      </c>
      <c r="J13" s="31">
        <f>January!D13</f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AA13" s="4">
        <v>1</v>
      </c>
    </row>
    <row r="14" spans="1:27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Budget]]*$B$53</f>
        <v>240</v>
      </c>
      <c r="G14" s="10">
        <f>Table_AnnualReport[[#This Row],[Actual]]/Table_AnnualReport[[#This Row],[Annual Budget]]</f>
        <v>0</v>
      </c>
      <c r="H14" s="32">
        <f>Table_AnnualReport[[#This Row],[Actual]]/$B$51</f>
        <v>0</v>
      </c>
      <c r="J14" s="32">
        <f>January!D14</f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AA14" s="4">
        <v>1</v>
      </c>
    </row>
    <row r="15" spans="1:27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Budget]]*$B$53</f>
        <v>240</v>
      </c>
      <c r="G15" s="10">
        <f>Table_AnnualReport[[#This Row],[Actual]]/Table_AnnualReport[[#This Row],[Annual Budget]]</f>
        <v>0</v>
      </c>
      <c r="H15" s="32">
        <f>Table_AnnualReport[[#This Row],[Actual]]/$B$51</f>
        <v>0</v>
      </c>
      <c r="J15" s="32">
        <f>January!D15</f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AA15" s="4">
        <v>1</v>
      </c>
    </row>
    <row r="16" spans="1:27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Budget]]*$B$53</f>
        <v>120</v>
      </c>
      <c r="G16" s="10">
        <f>Table_AnnualReport[[#This Row],[Actual]]/Table_AnnualReport[[#This Row],[Annual Budget]]</f>
        <v>0</v>
      </c>
      <c r="H16" s="32">
        <f>Table_AnnualReport[[#This Row],[Actual]]/$B$51</f>
        <v>0</v>
      </c>
      <c r="J16" s="32">
        <f>January!D16</f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AA16" s="4">
        <v>1</v>
      </c>
    </row>
    <row r="17" spans="1:27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Budget]]*$B$53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Row],[Actual]]/$B$51</f>
        <v>49.99</v>
      </c>
      <c r="J17" s="32">
        <f>January!D17</f>
        <v>49.99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AA17" s="4">
        <v>1</v>
      </c>
    </row>
    <row r="18" spans="1:27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Budget]]*$B$53</f>
        <v>360</v>
      </c>
      <c r="G18" s="10">
        <f>Table_AnnualReport[[#This Row],[Actual]]/Table_AnnualReport[[#This Row],[Annual Budget]]</f>
        <v>0</v>
      </c>
      <c r="H18" s="32">
        <f>Table_AnnualReport[[#This Row],[Actual]]/$B$51</f>
        <v>0</v>
      </c>
      <c r="J18" s="32">
        <f>January!D18</f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AA18" s="4">
        <v>1</v>
      </c>
    </row>
    <row r="19" spans="1:27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Budget]]*$B$53</f>
        <v>1200</v>
      </c>
      <c r="G19" s="10">
        <f>Table_AnnualReport[[#This Row],[Actual]]/Table_AnnualReport[[#This Row],[Annual Budget]]</f>
        <v>0</v>
      </c>
      <c r="H19" s="32">
        <f>Table_AnnualReport[[#This Row],[Actual]]/$B$51</f>
        <v>0</v>
      </c>
      <c r="J19" s="32">
        <f>January!D19</f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AA19" s="4">
        <v>1</v>
      </c>
    </row>
    <row r="20" spans="1:27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Budget]]*$B$53</f>
        <v>120</v>
      </c>
      <c r="G20" s="10">
        <f>Table_AnnualReport[[#This Row],[Actual]]/Table_AnnualReport[[#This Row],[Annual Budget]]</f>
        <v>0</v>
      </c>
      <c r="H20" s="32">
        <f>Table_AnnualReport[[#This Row],[Actual]]/$B$51</f>
        <v>0</v>
      </c>
      <c r="J20" s="32">
        <f>January!D20</f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AA20" s="4">
        <v>1</v>
      </c>
    </row>
    <row r="21" spans="1:27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Budget]]*$B$53</f>
        <v>60</v>
      </c>
      <c r="G21" s="10">
        <f>Table_AnnualReport[[#This Row],[Actual]]/Table_AnnualReport[[#This Row],[Annual Budget]]</f>
        <v>0</v>
      </c>
      <c r="H21" s="32">
        <f>Table_AnnualReport[[#This Row],[Actual]]/$B$51</f>
        <v>0</v>
      </c>
      <c r="J21" s="32">
        <f>January!D21</f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AA21" s="4">
        <v>1</v>
      </c>
    </row>
    <row r="22" spans="1:27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Budget]]*$B$53</f>
        <v>120</v>
      </c>
      <c r="G22" s="10">
        <f>Table_AnnualReport[[#This Row],[Actual]]/Table_AnnualReport[[#This Row],[Annual Budget]]</f>
        <v>0</v>
      </c>
      <c r="H22" s="32">
        <f>Table_AnnualReport[[#This Row],[Actual]]/$B$51</f>
        <v>0</v>
      </c>
      <c r="J22" s="32">
        <f>January!D22</f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AA22" s="4">
        <v>1</v>
      </c>
    </row>
    <row r="23" spans="1:27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Budget]]*$B$53</f>
        <v>1200</v>
      </c>
      <c r="G23" s="10">
        <f>Table_AnnualReport[[#This Row],[Actual]]/Table_AnnualReport[[#This Row],[Annual Budget]]</f>
        <v>0</v>
      </c>
      <c r="H23" s="32">
        <f>Table_AnnualReport[[#This Row],[Actual]]/$B$51</f>
        <v>0</v>
      </c>
      <c r="J23" s="32">
        <f>January!D23</f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AA23" s="4">
        <v>1</v>
      </c>
    </row>
    <row r="24" spans="1:27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Budget]]*$B$53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Row],[Actual]]/$B$51</f>
        <v>349</v>
      </c>
      <c r="J24" s="32">
        <f>January!D24</f>
        <v>349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AA24" s="4">
        <v>1</v>
      </c>
    </row>
    <row r="25" spans="1:27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Budget]]*$B$53</f>
        <v>120</v>
      </c>
      <c r="G25" s="10">
        <f>Table_AnnualReport[[#This Row],[Actual]]/Table_AnnualReport[[#This Row],[Annual Budget]]</f>
        <v>0</v>
      </c>
      <c r="H25" s="32">
        <f>Table_AnnualReport[[#This Row],[Actual]]/$B$51</f>
        <v>0</v>
      </c>
      <c r="J25" s="32">
        <f>January!D25</f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AA25" s="4">
        <v>1</v>
      </c>
    </row>
    <row r="26" spans="1:27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Budget]]*$B$53</f>
        <v>1200</v>
      </c>
      <c r="G26" s="10">
        <f>Table_AnnualReport[[#This Row],[Actual]]/Table_AnnualReport[[#This Row],[Annual Budget]]</f>
        <v>0</v>
      </c>
      <c r="H26" s="32">
        <f>Table_AnnualReport[[#This Row],[Actual]]/$B$51</f>
        <v>0</v>
      </c>
      <c r="J26" s="32">
        <f>January!D26</f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AA26" s="4">
        <v>1</v>
      </c>
    </row>
    <row r="27" spans="1:27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Budget]]*$B$53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Row],[Actual]]/$B$51</f>
        <v>150</v>
      </c>
      <c r="J27" s="33">
        <f>January!D27</f>
        <v>150</v>
      </c>
      <c r="K27" s="33">
        <v>0</v>
      </c>
      <c r="L27" s="33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AA27" s="4">
        <v>1</v>
      </c>
    </row>
    <row r="28" spans="1:27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Budget]]*$B$53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Row],[Actual]]/$B$51</f>
        <v>75</v>
      </c>
      <c r="J28" s="33">
        <f>January!D28</f>
        <v>75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AA28" s="4">
        <v>1</v>
      </c>
    </row>
    <row r="29" spans="1:27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Budget]]*$B$53</f>
        <v>0.12</v>
      </c>
      <c r="G29" s="11">
        <f>Table_AnnualReport[[#This Row],[Actual]]/Table_AnnualReport[[#This Row],[Annual Budget]]</f>
        <v>0</v>
      </c>
      <c r="H29" s="33">
        <f>Table_AnnualReport[[#This Row],[Actual]]/$B$51</f>
        <v>0</v>
      </c>
      <c r="J29" s="33">
        <f>January!D29</f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AA29" s="4">
        <v>1</v>
      </c>
    </row>
    <row r="30" spans="1:27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Budget]]*$B$53</f>
        <v>1200</v>
      </c>
      <c r="G30" s="11">
        <f>Table_AnnualReport[[#This Row],[Actual]]/Table_AnnualReport[[#This Row],[Annual Budget]]</f>
        <v>0</v>
      </c>
      <c r="H30" s="33">
        <f>Table_AnnualReport[[#This Row],[Actual]]/$B$51</f>
        <v>0</v>
      </c>
      <c r="J30" s="33">
        <f>January!D30</f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AA30" s="4">
        <v>1</v>
      </c>
    </row>
    <row r="31" spans="1:27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Budget]]*$B$53</f>
        <v>0.12</v>
      </c>
      <c r="G31" s="11">
        <f>Table_AnnualReport[[#This Row],[Actual]]/Table_AnnualReport[[#This Row],[Annual Budget]]</f>
        <v>0</v>
      </c>
      <c r="H31" s="33">
        <f>Table_AnnualReport[[#This Row],[Actual]]/$B$51</f>
        <v>0</v>
      </c>
      <c r="J31" s="33">
        <f>January!D31</f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AA31" s="4">
        <v>1</v>
      </c>
    </row>
    <row r="32" spans="1:27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Budget]]*$B$53</f>
        <v>360</v>
      </c>
      <c r="G32" s="11">
        <f>Table_AnnualReport[[#This Row],[Actual]]/Table_AnnualReport[[#This Row],[Annual Budget]]</f>
        <v>0</v>
      </c>
      <c r="H32" s="33">
        <f>Table_AnnualReport[[#This Row],[Actual]]/$B$51</f>
        <v>0</v>
      </c>
      <c r="J32" s="33">
        <f>January!D32</f>
        <v>0</v>
      </c>
      <c r="K32" s="33">
        <v>0</v>
      </c>
      <c r="L32" s="33">
        <v>0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AA32" s="4">
        <v>1</v>
      </c>
    </row>
    <row r="33" spans="1:27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Budget]]*$B$53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Row],[Actual]]/$B$51</f>
        <v>100</v>
      </c>
      <c r="J33" s="34">
        <f>January!D33</f>
        <v>100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AA33" s="4">
        <v>1</v>
      </c>
    </row>
    <row r="34" spans="1:27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Budget]]*$B$53</f>
        <v>360</v>
      </c>
      <c r="G34" s="95">
        <f>Table_AnnualReport[[#This Row],[Actual]]/Table_AnnualReport[[#This Row],[Annual Budget]]</f>
        <v>0</v>
      </c>
      <c r="H34" s="34">
        <f>Table_AnnualReport[[#This Row],[Actual]]/$B$51</f>
        <v>0</v>
      </c>
      <c r="J34" s="34">
        <f>January!D34</f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AA34">
        <v>1</v>
      </c>
    </row>
    <row r="35" spans="1:27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Budget]]*$B$53</f>
        <v>600</v>
      </c>
      <c r="G35" s="95">
        <f>Table_AnnualReport[[#This Row],[Actual]]/Table_AnnualReport[[#This Row],[Annual Budget]]</f>
        <v>0</v>
      </c>
      <c r="H35" s="34">
        <f>Table_AnnualReport[[#This Row],[Actual]]/$B$51</f>
        <v>0</v>
      </c>
      <c r="J35" s="34">
        <f>January!D35</f>
        <v>0</v>
      </c>
      <c r="K35" s="34">
        <v>0</v>
      </c>
      <c r="L35" s="34">
        <v>0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AA35">
        <v>1</v>
      </c>
    </row>
    <row r="36" spans="1:27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Budget]]*$B$53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Row],[Actual]]/$B$51</f>
        <v>50</v>
      </c>
      <c r="J36" s="34">
        <f>January!D36</f>
        <v>50</v>
      </c>
      <c r="K36" s="34">
        <v>0</v>
      </c>
      <c r="L36" s="34">
        <v>0</v>
      </c>
      <c r="M36" s="34">
        <v>0</v>
      </c>
      <c r="N36" s="34">
        <v>0</v>
      </c>
      <c r="O36" s="34">
        <v>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AA36" s="4">
        <v>1</v>
      </c>
    </row>
    <row r="37" spans="1:27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Budget]]*$B$53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Row],[Actual]]/$B$51</f>
        <v>200</v>
      </c>
      <c r="J37" s="37">
        <f>January!D37</f>
        <v>200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7">
        <v>0</v>
      </c>
      <c r="Q37" s="37">
        <v>0</v>
      </c>
      <c r="R37" s="37">
        <v>0</v>
      </c>
      <c r="S37" s="37">
        <v>0</v>
      </c>
      <c r="T37" s="37">
        <v>0</v>
      </c>
      <c r="U37" s="37">
        <v>0</v>
      </c>
      <c r="AA37" s="4">
        <v>1</v>
      </c>
    </row>
    <row r="38" spans="1:27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Budget]]*$B$53</f>
        <v>360</v>
      </c>
      <c r="G38" s="64">
        <f>Table_AnnualReport[[#This Row],[Actual]]/Table_AnnualReport[[#This Row],[Annual Budget]]</f>
        <v>0</v>
      </c>
      <c r="H38" s="35">
        <f>Table_AnnualReport[[#This Row],[Actual]]/$B$51</f>
        <v>0</v>
      </c>
      <c r="J38" s="37">
        <f>January!D38</f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>
        <v>0</v>
      </c>
      <c r="S38" s="37">
        <v>0</v>
      </c>
      <c r="T38" s="37">
        <v>0</v>
      </c>
      <c r="U38" s="37">
        <v>0</v>
      </c>
      <c r="AA38" s="4">
        <v>1</v>
      </c>
    </row>
    <row r="39" spans="1:27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Budget]]*$B$53</f>
        <v>180</v>
      </c>
      <c r="G39" s="64">
        <f>Table_AnnualReport[[#This Row],[Actual]]/Table_AnnualReport[[#This Row],[Annual Budget]]</f>
        <v>0</v>
      </c>
      <c r="H39" s="35">
        <f>Table_AnnualReport[[#This Row],[Actual]]/$B$51</f>
        <v>0</v>
      </c>
      <c r="J39" s="37">
        <f>January!D39</f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>
        <v>0</v>
      </c>
      <c r="S39" s="37">
        <v>0</v>
      </c>
      <c r="T39" s="37">
        <v>0</v>
      </c>
      <c r="U39" s="37">
        <v>0</v>
      </c>
      <c r="AA39" s="4">
        <v>1</v>
      </c>
    </row>
    <row r="40" spans="1:27" s="4" customFormat="1" x14ac:dyDescent="0.3">
      <c r="A40"/>
      <c r="B40"/>
      <c r="C40"/>
      <c r="D40" s="36"/>
      <c r="E40" s="36"/>
      <c r="F40" s="36"/>
      <c r="G40" s="36"/>
      <c r="H40" s="36"/>
      <c r="J40"/>
      <c r="K40"/>
      <c r="L40"/>
      <c r="M40"/>
      <c r="N40"/>
      <c r="O40"/>
      <c r="P40" s="36"/>
      <c r="R40"/>
      <c r="S40"/>
      <c r="T40"/>
      <c r="U40"/>
    </row>
    <row r="41" spans="1:27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J41" s="78">
        <f t="shared" ref="J41:U41" si="0">SUM(J2:J3)</f>
        <v>2000</v>
      </c>
      <c r="K41" s="78">
        <f t="shared" si="0"/>
        <v>0</v>
      </c>
      <c r="L41" s="78">
        <f t="shared" si="0"/>
        <v>0</v>
      </c>
      <c r="M41" s="78">
        <f t="shared" si="0"/>
        <v>0</v>
      </c>
      <c r="N41" s="78">
        <f t="shared" si="0"/>
        <v>0</v>
      </c>
      <c r="O41" s="78">
        <f t="shared" si="0"/>
        <v>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</row>
    <row r="42" spans="1:27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J42" s="80">
        <f t="shared" ref="J42:U42" si="2">SUM(J4:J8)</f>
        <v>70</v>
      </c>
      <c r="K42" s="80">
        <f t="shared" si="2"/>
        <v>0</v>
      </c>
      <c r="L42" s="80">
        <f t="shared" si="2"/>
        <v>0</v>
      </c>
      <c r="M42" s="80">
        <f t="shared" si="2"/>
        <v>0</v>
      </c>
      <c r="N42" s="80">
        <f t="shared" si="2"/>
        <v>0</v>
      </c>
      <c r="O42" s="80">
        <f t="shared" si="2"/>
        <v>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</row>
    <row r="43" spans="1:27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J43" s="82">
        <f t="shared" ref="J43:U43" si="3">SUM(J9:J13)</f>
        <v>300</v>
      </c>
      <c r="K43" s="82">
        <f t="shared" si="3"/>
        <v>0</v>
      </c>
      <c r="L43" s="82">
        <f t="shared" si="3"/>
        <v>0</v>
      </c>
      <c r="M43" s="82">
        <f t="shared" si="3"/>
        <v>0</v>
      </c>
      <c r="N43" s="82">
        <f t="shared" si="3"/>
        <v>0</v>
      </c>
      <c r="O43" s="82">
        <f t="shared" si="3"/>
        <v>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</row>
    <row r="44" spans="1:27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J44" s="84">
        <f t="shared" ref="J44:U44" si="4">SUM(J14:J24)</f>
        <v>398.99</v>
      </c>
      <c r="K44" s="84">
        <f t="shared" si="4"/>
        <v>0</v>
      </c>
      <c r="L44" s="84">
        <f t="shared" si="4"/>
        <v>0</v>
      </c>
      <c r="M44" s="84">
        <f t="shared" si="4"/>
        <v>0</v>
      </c>
      <c r="N44" s="84">
        <f t="shared" si="4"/>
        <v>0</v>
      </c>
      <c r="O44" s="84">
        <f t="shared" si="4"/>
        <v>0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</row>
    <row r="45" spans="1:27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J45" s="86">
        <f t="shared" ref="J45:U45" si="5">SUM(J27:J32)</f>
        <v>225</v>
      </c>
      <c r="K45" s="86">
        <f t="shared" si="5"/>
        <v>0</v>
      </c>
      <c r="L45" s="86">
        <f t="shared" si="5"/>
        <v>0</v>
      </c>
      <c r="M45" s="86">
        <f t="shared" si="5"/>
        <v>0</v>
      </c>
      <c r="N45" s="86">
        <f t="shared" si="5"/>
        <v>0</v>
      </c>
      <c r="O45" s="86">
        <f t="shared" si="5"/>
        <v>0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</row>
    <row r="46" spans="1:27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J46" s="88">
        <f t="shared" ref="J46:U46" si="6">SUM(J33:J34)</f>
        <v>100</v>
      </c>
      <c r="K46" s="88">
        <f t="shared" si="6"/>
        <v>0</v>
      </c>
      <c r="L46" s="88">
        <f t="shared" si="6"/>
        <v>0</v>
      </c>
      <c r="M46" s="88">
        <f t="shared" si="6"/>
        <v>0</v>
      </c>
      <c r="N46" s="88">
        <f t="shared" si="6"/>
        <v>0</v>
      </c>
      <c r="O46" s="88">
        <f t="shared" si="6"/>
        <v>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</row>
    <row r="47" spans="1:27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J47" s="90">
        <f t="shared" ref="J47:U47" si="7">SUM(J36:J38)</f>
        <v>250</v>
      </c>
      <c r="K47" s="90">
        <f t="shared" si="7"/>
        <v>0</v>
      </c>
      <c r="L47" s="90">
        <f t="shared" si="7"/>
        <v>0</v>
      </c>
      <c r="M47" s="90">
        <f t="shared" si="7"/>
        <v>0</v>
      </c>
      <c r="N47" s="90">
        <f t="shared" si="7"/>
        <v>0</v>
      </c>
      <c r="O47" s="90">
        <f t="shared" si="7"/>
        <v>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</row>
    <row r="48" spans="1:27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J48" s="91">
        <f>SUM(J42:J47)</f>
        <v>1343.99</v>
      </c>
      <c r="K48" s="91">
        <f t="shared" ref="K48:U48" si="9">SUM(K42:K47)</f>
        <v>0</v>
      </c>
      <c r="L48" s="91">
        <f t="shared" si="9"/>
        <v>0</v>
      </c>
      <c r="M48" s="91">
        <f t="shared" si="9"/>
        <v>0</v>
      </c>
      <c r="N48" s="91">
        <f t="shared" si="9"/>
        <v>0</v>
      </c>
      <c r="O48" s="91">
        <f t="shared" si="9"/>
        <v>0</v>
      </c>
      <c r="P48" s="91">
        <f t="shared" si="9"/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</row>
    <row r="49" spans="1:21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J49" s="71">
        <f t="shared" ref="J49:U49" si="10">SUM(J2:J3)-SUM(J4:J38)</f>
        <v>656.01</v>
      </c>
      <c r="K49" s="71">
        <f t="shared" si="10"/>
        <v>0</v>
      </c>
      <c r="L49" s="71">
        <f t="shared" si="10"/>
        <v>0</v>
      </c>
      <c r="M49" s="71">
        <f t="shared" si="10"/>
        <v>0</v>
      </c>
      <c r="N49" s="71">
        <f t="shared" si="10"/>
        <v>0</v>
      </c>
      <c r="O49" s="71">
        <f t="shared" si="10"/>
        <v>0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</row>
    <row r="50" spans="1:21" ht="15.6" thickTop="1" thickBot="1" x14ac:dyDescent="0.35">
      <c r="A50" s="1"/>
      <c r="B50" s="4"/>
      <c r="C50" s="4"/>
      <c r="D50" s="4"/>
      <c r="E50" s="1"/>
      <c r="F50" s="4"/>
      <c r="G50" s="4"/>
      <c r="H50" s="4"/>
      <c r="I50" s="1" t="s">
        <v>69</v>
      </c>
      <c r="J50" s="71">
        <f>J49</f>
        <v>656.01</v>
      </c>
      <c r="K50" s="71">
        <f>J50+K49</f>
        <v>656.01</v>
      </c>
      <c r="L50" s="71">
        <f>K50+L49</f>
        <v>656.01</v>
      </c>
      <c r="M50" s="71">
        <f t="shared" ref="M50:U50" si="11">L50+M49</f>
        <v>656.01</v>
      </c>
      <c r="N50" s="71">
        <f t="shared" si="11"/>
        <v>656.01</v>
      </c>
      <c r="O50" s="71">
        <f t="shared" si="11"/>
        <v>656.01</v>
      </c>
      <c r="P50" s="71">
        <f t="shared" si="11"/>
        <v>656.01</v>
      </c>
      <c r="Q50" s="71">
        <f t="shared" si="11"/>
        <v>656.01</v>
      </c>
      <c r="R50" s="71">
        <f t="shared" si="11"/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</row>
    <row r="51" spans="1:21" s="4" customFormat="1" ht="15.6" thickTop="1" thickBot="1" x14ac:dyDescent="0.35">
      <c r="A51" s="1" t="s">
        <v>74</v>
      </c>
      <c r="B51" s="4">
        <f>VLOOKUP(Transactions!H5, Tabelle3[], 2, 0)</f>
        <v>1</v>
      </c>
      <c r="E51" s="1"/>
      <c r="I51" s="1" t="s">
        <v>70</v>
      </c>
      <c r="J51" s="71">
        <f>SUM(I51,'Annual Expense Report'!G7:H8)</f>
        <v>656.01</v>
      </c>
      <c r="K51" s="71">
        <f>SUM(J51,'Annual Expense Report'!G7:H8)</f>
        <v>1312.02</v>
      </c>
      <c r="L51" s="71">
        <f>SUM(K51,'Annual Expense Report'!G7:H8)</f>
        <v>1968.03</v>
      </c>
      <c r="M51" s="71">
        <f>SUM(L51,'Annual Expense Report'!G7:H8)</f>
        <v>2624.04</v>
      </c>
      <c r="N51" s="71">
        <f>SUM(M51,'Annual Expense Report'!G7:H8)</f>
        <v>3280.05</v>
      </c>
      <c r="O51" s="71">
        <f>SUM(N51,'Annual Expense Report'!G7:H8)</f>
        <v>3936.0600000000004</v>
      </c>
      <c r="P51" s="71">
        <f>SUM(O51,'Annual Expense Report'!G7:H8)</f>
        <v>4592.0700000000006</v>
      </c>
      <c r="Q51" s="71">
        <f>SUM(P51,'Annual Expense Report'!G7:H8)</f>
        <v>5248.0800000000008</v>
      </c>
      <c r="R51" s="71">
        <f>SUM(Q51,'Annual Expense Report'!G7:H8)</f>
        <v>5904.0900000000011</v>
      </c>
      <c r="S51" s="71">
        <f>SUM(R51,'Annual Expense Report'!G7:H8)</f>
        <v>6560.1000000000013</v>
      </c>
      <c r="T51" s="71">
        <f>SUM(S51,'Annual Expense Report'!G7:H8)</f>
        <v>7216.1100000000015</v>
      </c>
      <c r="U51" s="71">
        <f>SUM(T51,'Annual Expense Report'!G7:H8)</f>
        <v>7872.1200000000017</v>
      </c>
    </row>
    <row r="52" spans="1:21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I52" s="1" t="s">
        <v>71</v>
      </c>
      <c r="J52" s="71">
        <f>E49</f>
        <v>118.97000000000003</v>
      </c>
      <c r="K52" s="71">
        <f>J52+E49</f>
        <v>237.94000000000005</v>
      </c>
      <c r="L52" s="71">
        <f>K52+E49</f>
        <v>356.91000000000008</v>
      </c>
      <c r="M52" s="71">
        <f>L52+E49</f>
        <v>475.88000000000011</v>
      </c>
      <c r="N52" s="71">
        <f>M52+E49</f>
        <v>594.85000000000014</v>
      </c>
      <c r="O52" s="71">
        <f>N52+E49</f>
        <v>713.82000000000016</v>
      </c>
      <c r="P52" s="71">
        <f>O52+E49</f>
        <v>832.79000000000019</v>
      </c>
      <c r="Q52" s="71">
        <f>P52+E49</f>
        <v>951.76000000000022</v>
      </c>
      <c r="R52" s="71">
        <f>Q52+E49</f>
        <v>1070.7300000000002</v>
      </c>
      <c r="S52" s="71">
        <f>R52+E49</f>
        <v>1189.7000000000003</v>
      </c>
      <c r="T52" s="71">
        <f>S52+E49</f>
        <v>1308.6700000000003</v>
      </c>
      <c r="U52" s="71">
        <f>T52+E49</f>
        <v>1427.6400000000003</v>
      </c>
    </row>
    <row r="53" spans="1:21" ht="15" thickTop="1" x14ac:dyDescent="0.3">
      <c r="A53" s="1" t="s">
        <v>86</v>
      </c>
      <c r="B53">
        <v>12</v>
      </c>
      <c r="P53" s="36"/>
      <c r="Q53" s="4"/>
    </row>
    <row r="54" spans="1:21" x14ac:dyDescent="0.3">
      <c r="A54" s="4"/>
      <c r="B54" s="4"/>
      <c r="C54" s="4"/>
      <c r="J54" s="4"/>
      <c r="K54" s="4"/>
      <c r="L54" s="4"/>
      <c r="M54" s="4"/>
      <c r="N54" s="4"/>
      <c r="O54" s="4"/>
      <c r="P54" s="36"/>
      <c r="Q54" s="4"/>
      <c r="R54" s="4"/>
      <c r="S54" s="4"/>
      <c r="T54" s="4"/>
      <c r="U54" s="4"/>
    </row>
    <row r="55" spans="1:21" x14ac:dyDescent="0.3">
      <c r="A55" s="1" t="s">
        <v>40</v>
      </c>
      <c r="B55" s="1" t="s">
        <v>39</v>
      </c>
      <c r="C55" s="1" t="s">
        <v>46</v>
      </c>
      <c r="Q55" s="4"/>
    </row>
    <row r="56" spans="1:21" x14ac:dyDescent="0.3">
      <c r="A56" s="13" t="s">
        <v>17</v>
      </c>
      <c r="B56" s="29">
        <f>SUM(E2:E3)</f>
        <v>2100</v>
      </c>
      <c r="C56" s="8">
        <f>B56/B56</f>
        <v>1</v>
      </c>
      <c r="Q56" s="4"/>
    </row>
    <row r="57" spans="1:21" x14ac:dyDescent="0.3">
      <c r="A57" s="15" t="s">
        <v>35</v>
      </c>
      <c r="B57" s="30">
        <f>SUM(E4:E8)</f>
        <v>320.01</v>
      </c>
      <c r="C57" s="9">
        <f>B57/B56</f>
        <v>0.15238571428571429</v>
      </c>
      <c r="Q57" s="4"/>
    </row>
    <row r="58" spans="1:21" x14ac:dyDescent="0.3">
      <c r="A58" s="16" t="s">
        <v>16</v>
      </c>
      <c r="B58" s="40">
        <f>SUM(E9:E13)</f>
        <v>356</v>
      </c>
      <c r="C58" s="72">
        <f>B58/B56</f>
        <v>0.16952380952380952</v>
      </c>
      <c r="Q58" s="4"/>
    </row>
    <row r="59" spans="1:21" x14ac:dyDescent="0.3">
      <c r="A59" s="20" t="s">
        <v>34</v>
      </c>
      <c r="B59" s="32">
        <f>SUM(E14:E26)</f>
        <v>475</v>
      </c>
      <c r="C59" s="10">
        <f>B59/B56</f>
        <v>0.22619047619047619</v>
      </c>
      <c r="Q59" s="4"/>
    </row>
    <row r="60" spans="1:21" x14ac:dyDescent="0.3">
      <c r="A60" s="21" t="s">
        <v>89</v>
      </c>
      <c r="B60" s="33">
        <f>SUM(E27:E32)</f>
        <v>355.02</v>
      </c>
      <c r="C60" s="11">
        <f>B60/B56</f>
        <v>0.16905714285714285</v>
      </c>
      <c r="Q60" s="4"/>
    </row>
    <row r="61" spans="1:21" x14ac:dyDescent="0.3">
      <c r="A61" s="23" t="s">
        <v>45</v>
      </c>
      <c r="B61" s="43">
        <f>SUM(E33:E36)</f>
        <v>230</v>
      </c>
      <c r="C61" s="73">
        <f>B61/B56</f>
        <v>0.10952380952380952</v>
      </c>
      <c r="Q61" s="4"/>
    </row>
    <row r="62" spans="1:21" x14ac:dyDescent="0.3">
      <c r="A62" s="6" t="s">
        <v>53</v>
      </c>
      <c r="B62" s="35">
        <f>SUM(E37:E39)</f>
        <v>245</v>
      </c>
      <c r="C62" s="64">
        <f>B62/B56</f>
        <v>0.11666666666666667</v>
      </c>
      <c r="Q62" s="4"/>
    </row>
    <row r="63" spans="1:21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Q63" s="4"/>
    </row>
    <row r="64" spans="1:21" x14ac:dyDescent="0.3">
      <c r="Q64" s="4"/>
    </row>
    <row r="65" spans="17:17" x14ac:dyDescent="0.3">
      <c r="Q65" s="4"/>
    </row>
    <row r="66" spans="17:17" x14ac:dyDescent="0.3">
      <c r="Q66" s="4"/>
    </row>
    <row r="67" spans="17:17" x14ac:dyDescent="0.3">
      <c r="Q67" s="4"/>
    </row>
    <row r="68" spans="17:17" x14ac:dyDescent="0.3">
      <c r="Q68" s="4"/>
    </row>
    <row r="69" spans="17:17" x14ac:dyDescent="0.3">
      <c r="Q69" s="4"/>
    </row>
    <row r="70" spans="17:17" x14ac:dyDescent="0.3">
      <c r="Q70" s="4"/>
    </row>
    <row r="71" spans="17:17" x14ac:dyDescent="0.3">
      <c r="Q71" s="4"/>
    </row>
    <row r="83" spans="1:2" x14ac:dyDescent="0.3">
      <c r="A83" s="1" t="s">
        <v>103</v>
      </c>
      <c r="B83" s="1" t="s">
        <v>104</v>
      </c>
    </row>
    <row r="84" spans="1:2" x14ac:dyDescent="0.3">
      <c r="A84" s="1" t="s">
        <v>82</v>
      </c>
      <c r="B84">
        <v>1</v>
      </c>
    </row>
    <row r="85" spans="1:2" x14ac:dyDescent="0.3">
      <c r="A85" s="1" t="s">
        <v>83</v>
      </c>
      <c r="B85">
        <v>2</v>
      </c>
    </row>
    <row r="86" spans="1:2" x14ac:dyDescent="0.3">
      <c r="A86" s="1" t="s">
        <v>58</v>
      </c>
      <c r="B86">
        <v>3</v>
      </c>
    </row>
    <row r="87" spans="1:2" x14ac:dyDescent="0.3">
      <c r="A87" s="1" t="s">
        <v>36</v>
      </c>
      <c r="B87">
        <v>4</v>
      </c>
    </row>
    <row r="88" spans="1:2" x14ac:dyDescent="0.3">
      <c r="A88" s="1" t="s">
        <v>42</v>
      </c>
      <c r="B88">
        <v>5</v>
      </c>
    </row>
    <row r="89" spans="1:2" x14ac:dyDescent="0.3">
      <c r="A89" s="1" t="s">
        <v>49</v>
      </c>
      <c r="B89">
        <v>6</v>
      </c>
    </row>
    <row r="90" spans="1:2" x14ac:dyDescent="0.3">
      <c r="A90" s="1" t="s">
        <v>57</v>
      </c>
      <c r="B90">
        <v>7</v>
      </c>
    </row>
    <row r="91" spans="1:2" x14ac:dyDescent="0.3">
      <c r="A91" s="1" t="s">
        <v>59</v>
      </c>
      <c r="B91">
        <v>8</v>
      </c>
    </row>
    <row r="92" spans="1:2" x14ac:dyDescent="0.3">
      <c r="A92" s="1" t="s">
        <v>60</v>
      </c>
      <c r="B92">
        <v>9</v>
      </c>
    </row>
    <row r="93" spans="1:2" x14ac:dyDescent="0.3">
      <c r="A93" s="1" t="s">
        <v>61</v>
      </c>
      <c r="B93">
        <v>10</v>
      </c>
    </row>
    <row r="94" spans="1:2" x14ac:dyDescent="0.3">
      <c r="A94" s="1" t="s">
        <v>62</v>
      </c>
      <c r="B94">
        <v>11</v>
      </c>
    </row>
    <row r="95" spans="1:2" x14ac:dyDescent="0.3">
      <c r="A95" s="1" t="s">
        <v>63</v>
      </c>
      <c r="B95">
        <v>12</v>
      </c>
    </row>
  </sheetData>
  <phoneticPr fontId="3" type="noConversion"/>
  <conditionalFormatting sqref="G36:G49 G2:G34">
    <cfRule type="cellIs" dxfId="42" priority="4" operator="greaterThan">
      <formula>0.75</formula>
    </cfRule>
    <cfRule type="cellIs" dxfId="41" priority="5" operator="between">
      <formula>0.501</formula>
      <formula>0.75</formula>
    </cfRule>
    <cfRule type="cellIs" dxfId="40" priority="6" operator="lessThanOrEqual">
      <formula>0.5</formula>
    </cfRule>
  </conditionalFormatting>
  <conditionalFormatting sqref="G35">
    <cfRule type="cellIs" dxfId="39" priority="1" operator="greaterThan">
      <formula>0.75</formula>
    </cfRule>
    <cfRule type="cellIs" dxfId="38" priority="2" operator="between">
      <formula>0.501</formula>
      <formula>0.75</formula>
    </cfRule>
    <cfRule type="cellIs" dxfId="37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P36:U39 P29:U34 P2:U27 P28:T28 P35:S35" calculatedColumn="1"/>
    <ignoredError sqref="K41:U47 E41:E47 B56:B62" formulaRange="1"/>
    <ignoredError sqref="G48" formula="1"/>
  </ignoredErrors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D37" sqref="D37"/>
    </sheetView>
  </sheetViews>
  <sheetFormatPr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Annual!$J$1:$U$1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2021-01-17T18:27:46Z</dcterms:modified>
</cp:coreProperties>
</file>