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egg_o\Desktop\personal-finance-report\"/>
    </mc:Choice>
  </mc:AlternateContent>
  <xr:revisionPtr revIDLastSave="0" documentId="13_ncr:1_{C229E3C7-0C2A-44C3-A800-BE1B9722DC7C}" xr6:coauthVersionLast="46" xr6:coauthVersionMax="46" xr10:uidLastSave="{00000000-0000-0000-0000-000000000000}"/>
  <bookViews>
    <workbookView xWindow="-108" yWindow="-108" windowWidth="23256" windowHeight="12576" tabRatio="897" activeTab="1" xr2:uid="{00000000-000D-0000-FFFF-FFFF00000000}"/>
  </bookViews>
  <sheets>
    <sheet name="Annual Expense Report" sheetId="22" r:id="rId1"/>
    <sheet name="Annual" sheetId="17" r:id="rId2"/>
    <sheet name="Transactions" sheetId="32" r:id="rId3"/>
    <sheet name="January" sheetId="29" r:id="rId4"/>
  </sheets>
  <functionGroups builtInGroupCount="19"/>
  <calcPr calcId="181029"/>
</workbook>
</file>

<file path=xl/calcChain.xml><?xml version="1.0" encoding="utf-8"?>
<calcChain xmlns="http://schemas.openxmlformats.org/spreadsheetml/2006/main">
  <c r="M2" i="17" l="1"/>
  <c r="M3" i="17" s="1"/>
  <c r="N2" i="17"/>
  <c r="N3" i="17"/>
  <c r="M4" i="17"/>
  <c r="M5" i="17" s="1"/>
  <c r="M6" i="17" s="1"/>
  <c r="M7" i="17" s="1"/>
  <c r="M8" i="17" s="1"/>
  <c r="N4" i="17"/>
  <c r="N5" i="17"/>
  <c r="N6" i="17"/>
  <c r="N7" i="17"/>
  <c r="N8" i="17"/>
  <c r="M9" i="17"/>
  <c r="N9" i="17"/>
  <c r="M10" i="17"/>
  <c r="M11" i="17" s="1"/>
  <c r="M12" i="17" s="1"/>
  <c r="M13" i="17" s="1"/>
  <c r="N10" i="17"/>
  <c r="N11" i="17"/>
  <c r="N12" i="17"/>
  <c r="N13" i="17"/>
  <c r="M14" i="17"/>
  <c r="M15" i="17" s="1"/>
  <c r="M16" i="17" s="1"/>
  <c r="M17" i="17" s="1"/>
  <c r="M18" i="17" s="1"/>
  <c r="M19" i="17" s="1"/>
  <c r="M20" i="17" s="1"/>
  <c r="M21" i="17" s="1"/>
  <c r="M22" i="17" s="1"/>
  <c r="M23" i="17" s="1"/>
  <c r="M24" i="17" s="1"/>
  <c r="M25" i="17" s="1"/>
  <c r="M26" i="17" s="1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M27" i="17"/>
  <c r="M28" i="17" s="1"/>
  <c r="M29" i="17" s="1"/>
  <c r="M30" i="17" s="1"/>
  <c r="M31" i="17" s="1"/>
  <c r="M32" i="17" s="1"/>
  <c r="N27" i="17"/>
  <c r="N28" i="17"/>
  <c r="N29" i="17"/>
  <c r="N30" i="17"/>
  <c r="N31" i="17"/>
  <c r="N32" i="17"/>
  <c r="M33" i="17"/>
  <c r="M34" i="17" s="1"/>
  <c r="M35" i="17" s="1"/>
  <c r="M36" i="17" s="1"/>
  <c r="N33" i="17"/>
  <c r="N34" i="17"/>
  <c r="N35" i="17"/>
  <c r="N36" i="17"/>
  <c r="M37" i="17"/>
  <c r="M38" i="17" s="1"/>
  <c r="M39" i="17" s="1"/>
  <c r="N37" i="17"/>
  <c r="N38" i="17"/>
  <c r="N39" i="17"/>
  <c r="L4" i="17"/>
  <c r="L5" i="17" s="1"/>
  <c r="L6" i="17" s="1"/>
  <c r="L7" i="17" s="1"/>
  <c r="L8" i="17" s="1"/>
  <c r="L9" i="17" s="1"/>
  <c r="L10" i="17" s="1"/>
  <c r="L11" i="17" s="1"/>
  <c r="L12" i="17" s="1"/>
  <c r="L13" i="17" s="1"/>
  <c r="L14" i="17" s="1"/>
  <c r="L15" i="17" s="1"/>
  <c r="L16" i="17" s="1"/>
  <c r="L17" i="17" s="1"/>
  <c r="L18" i="17" s="1"/>
  <c r="L19" i="17" s="1"/>
  <c r="L20" i="17" s="1"/>
  <c r="L21" i="17" s="1"/>
  <c r="L22" i="17" s="1"/>
  <c r="L23" i="17" s="1"/>
  <c r="L24" i="17" s="1"/>
  <c r="L25" i="17" s="1"/>
  <c r="L26" i="17" s="1"/>
  <c r="L27" i="17" s="1"/>
  <c r="L28" i="17" s="1"/>
  <c r="L29" i="17" s="1"/>
  <c r="L30" i="17" s="1"/>
  <c r="L31" i="17" s="1"/>
  <c r="L32" i="17" s="1"/>
  <c r="L33" i="17" s="1"/>
  <c r="L34" i="17" s="1"/>
  <c r="L35" i="17" s="1"/>
  <c r="L36" i="17" s="1"/>
  <c r="L37" i="17" s="1"/>
  <c r="L38" i="17" s="1"/>
  <c r="L39" i="17" s="1"/>
  <c r="L2" i="17"/>
  <c r="L3" i="17" s="1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B51" i="17"/>
  <c r="O2" i="17" l="1"/>
  <c r="O3" i="17"/>
  <c r="O4" i="17"/>
  <c r="O5" i="17"/>
  <c r="O6" i="17"/>
  <c r="O7" i="17"/>
  <c r="O8" i="17"/>
  <c r="O9" i="17"/>
  <c r="O10" i="17"/>
  <c r="O11" i="17"/>
  <c r="O12" i="17"/>
  <c r="O13" i="17"/>
  <c r="O14" i="17"/>
  <c r="O15" i="17"/>
  <c r="O16" i="17"/>
  <c r="O17" i="17"/>
  <c r="O18" i="17"/>
  <c r="O19" i="17"/>
  <c r="O20" i="17"/>
  <c r="O21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34" i="17"/>
  <c r="O35" i="17"/>
  <c r="O36" i="17"/>
  <c r="O37" i="17"/>
  <c r="O38" i="17"/>
  <c r="O39" i="17"/>
  <c r="E46" i="17"/>
  <c r="B61" i="17" l="1"/>
  <c r="B59" i="17" l="1"/>
  <c r="E44" i="17"/>
  <c r="D2" i="22" l="1"/>
  <c r="A2" i="22"/>
  <c r="B62" i="17"/>
  <c r="B60" i="17"/>
  <c r="B58" i="17"/>
  <c r="B57" i="17"/>
  <c r="B56" i="17"/>
  <c r="Z49" i="17"/>
  <c r="Y49" i="17"/>
  <c r="S49" i="17"/>
  <c r="R49" i="17"/>
  <c r="Q49" i="17"/>
  <c r="P49" i="17"/>
  <c r="E49" i="17"/>
  <c r="Z47" i="17"/>
  <c r="Y47" i="17"/>
  <c r="S47" i="17"/>
  <c r="R47" i="17"/>
  <c r="Q47" i="17"/>
  <c r="P47" i="17"/>
  <c r="E47" i="17"/>
  <c r="Z46" i="17"/>
  <c r="Y46" i="17"/>
  <c r="S46" i="17"/>
  <c r="R46" i="17"/>
  <c r="Q46" i="17"/>
  <c r="P46" i="17"/>
  <c r="Z45" i="17"/>
  <c r="Y45" i="17"/>
  <c r="S45" i="17"/>
  <c r="R45" i="17"/>
  <c r="Q45" i="17"/>
  <c r="P45" i="17"/>
  <c r="E45" i="17"/>
  <c r="Z44" i="17"/>
  <c r="Y44" i="17"/>
  <c r="S44" i="17"/>
  <c r="R44" i="17"/>
  <c r="Q44" i="17"/>
  <c r="P44" i="17"/>
  <c r="Z43" i="17"/>
  <c r="Y43" i="17"/>
  <c r="S43" i="17"/>
  <c r="R43" i="17"/>
  <c r="Q43" i="17"/>
  <c r="P43" i="17"/>
  <c r="E43" i="17"/>
  <c r="Z42" i="17"/>
  <c r="Y42" i="17"/>
  <c r="S42" i="17"/>
  <c r="R42" i="17"/>
  <c r="Q42" i="17"/>
  <c r="P42" i="17"/>
  <c r="E42" i="17"/>
  <c r="Z41" i="17"/>
  <c r="Y41" i="17"/>
  <c r="S41" i="17"/>
  <c r="R41" i="17"/>
  <c r="Q41" i="17"/>
  <c r="P41" i="17"/>
  <c r="E41" i="17"/>
  <c r="W47" i="17"/>
  <c r="X46" i="17"/>
  <c r="U41" i="17"/>
  <c r="Q48" i="17" l="1"/>
  <c r="B63" i="17"/>
  <c r="C63" i="17" s="1"/>
  <c r="P48" i="17"/>
  <c r="R48" i="17"/>
  <c r="E48" i="17"/>
  <c r="O52" i="17"/>
  <c r="P52" i="17" s="1"/>
  <c r="Q52" i="17" s="1"/>
  <c r="R52" i="17" s="1"/>
  <c r="S52" i="17" s="1"/>
  <c r="T52" i="17" s="1"/>
  <c r="U52" i="17" s="1"/>
  <c r="V52" i="17" s="1"/>
  <c r="W52" i="17" s="1"/>
  <c r="X52" i="17" s="1"/>
  <c r="Y52" i="17" s="1"/>
  <c r="Z52" i="17" s="1"/>
  <c r="S48" i="17"/>
  <c r="W41" i="17"/>
  <c r="Z48" i="17"/>
  <c r="F49" i="17"/>
  <c r="J2" i="22" s="1"/>
  <c r="C60" i="17"/>
  <c r="C61" i="17"/>
  <c r="U46" i="17"/>
  <c r="F46" i="17"/>
  <c r="W46" i="17"/>
  <c r="C59" i="17"/>
  <c r="C57" i="17"/>
  <c r="C58" i="17"/>
  <c r="C62" i="17"/>
  <c r="Y48" i="17"/>
  <c r="C56" i="17"/>
  <c r="V41" i="17"/>
  <c r="F43" i="17"/>
  <c r="W43" i="17"/>
  <c r="W45" i="17"/>
  <c r="V46" i="17"/>
  <c r="F47" i="17"/>
  <c r="F42" i="17"/>
  <c r="T43" i="17"/>
  <c r="W49" i="17"/>
  <c r="T42" i="17"/>
  <c r="V42" i="17"/>
  <c r="V44" i="17"/>
  <c r="V45" i="17"/>
  <c r="U45" i="17"/>
  <c r="T47" i="17"/>
  <c r="U44" i="17"/>
  <c r="F44" i="17"/>
  <c r="V47" i="17"/>
  <c r="F41" i="17"/>
  <c r="U42" i="17"/>
  <c r="W42" i="17"/>
  <c r="V43" i="17"/>
  <c r="U43" i="17"/>
  <c r="W44" i="17"/>
  <c r="F45" i="17"/>
  <c r="T46" i="17"/>
  <c r="T44" i="17"/>
  <c r="U47" i="17"/>
  <c r="T49" i="17"/>
  <c r="T41" i="17"/>
  <c r="T45" i="17"/>
  <c r="U49" i="17"/>
  <c r="V49" i="17"/>
  <c r="X47" i="17"/>
  <c r="X45" i="17"/>
  <c r="X44" i="17"/>
  <c r="X43" i="17"/>
  <c r="X42" i="17"/>
  <c r="X41" i="17"/>
  <c r="X49" i="17"/>
  <c r="V48" i="17" l="1"/>
  <c r="T48" i="17"/>
  <c r="W48" i="17"/>
  <c r="F48" i="17"/>
  <c r="U48" i="17"/>
  <c r="X48" i="17"/>
  <c r="D2" i="17"/>
  <c r="H2" i="17" s="1"/>
  <c r="G2" i="17" l="1"/>
  <c r="D3" i="17"/>
  <c r="H3" i="17" s="1"/>
  <c r="O41" i="17" l="1"/>
  <c r="D41" i="17"/>
  <c r="G3" i="17"/>
  <c r="G41" i="17" l="1"/>
  <c r="D4" i="17"/>
  <c r="H4" i="17" s="1"/>
  <c r="G4" i="17" l="1"/>
  <c r="D5" i="17"/>
  <c r="G5" i="17" l="1"/>
  <c r="H5" i="17"/>
  <c r="D6" i="17"/>
  <c r="H6" i="17" s="1"/>
  <c r="G6" i="17" l="1"/>
  <c r="D7" i="17" l="1"/>
  <c r="H7" i="17" s="1"/>
  <c r="G7" i="17" l="1"/>
  <c r="D8" i="17" l="1"/>
  <c r="H8" i="17" s="1"/>
  <c r="O42" i="17"/>
  <c r="D42" i="17" l="1"/>
  <c r="G8" i="17"/>
  <c r="G42" i="17" l="1"/>
  <c r="D9" i="17" l="1"/>
  <c r="H9" i="17" s="1"/>
  <c r="G9" i="17" l="1"/>
  <c r="D10" i="17"/>
  <c r="H10" i="17" s="1"/>
  <c r="G10" i="17" l="1"/>
  <c r="D11" i="17"/>
  <c r="H11" i="17" s="1"/>
  <c r="G11" i="17" l="1"/>
  <c r="D12" i="17" l="1"/>
  <c r="H12" i="17" s="1"/>
  <c r="G12" i="17" l="1"/>
  <c r="D13" i="17"/>
  <c r="D43" i="17" l="1"/>
  <c r="G43" i="17" s="1"/>
  <c r="H13" i="17"/>
  <c r="G13" i="17"/>
  <c r="O43" i="17"/>
  <c r="D14" i="17"/>
  <c r="G14" i="17" l="1"/>
  <c r="H14" i="17"/>
  <c r="D15" i="17"/>
  <c r="H15" i="17" s="1"/>
  <c r="G15" i="17" l="1"/>
  <c r="D16" i="17"/>
  <c r="H16" i="17" s="1"/>
  <c r="G16" i="17" l="1"/>
  <c r="D17" i="17"/>
  <c r="H17" i="17" s="1"/>
  <c r="G17" i="17" l="1"/>
  <c r="D18" i="17" l="1"/>
  <c r="H18" i="17" s="1"/>
  <c r="G18" i="17" l="1"/>
  <c r="D19" i="17" l="1"/>
  <c r="H19" i="17" s="1"/>
  <c r="G19" i="17" l="1"/>
  <c r="D20" i="17"/>
  <c r="H20" i="17" s="1"/>
  <c r="G20" i="17" l="1"/>
  <c r="D21" i="17" l="1"/>
  <c r="H21" i="17" s="1"/>
  <c r="G21" i="17" l="1"/>
  <c r="D22" i="17"/>
  <c r="H22" i="17" s="1"/>
  <c r="G22" i="17" l="1"/>
  <c r="D23" i="17"/>
  <c r="H23" i="17" s="1"/>
  <c r="G23" i="17" l="1"/>
  <c r="O44" i="17"/>
  <c r="D24" i="17" l="1"/>
  <c r="H24" i="17" s="1"/>
  <c r="G24" i="17" l="1"/>
  <c r="D25" i="17"/>
  <c r="G25" i="17" l="1"/>
  <c r="H25" i="17"/>
  <c r="D26" i="17"/>
  <c r="D44" i="17" l="1"/>
  <c r="G44" i="17" s="1"/>
  <c r="H26" i="17"/>
  <c r="G26" i="17"/>
  <c r="D27" i="17"/>
  <c r="H27" i="17" s="1"/>
  <c r="G27" i="17" l="1"/>
  <c r="D28" i="17"/>
  <c r="H28" i="17" s="1"/>
  <c r="D29" i="17"/>
  <c r="H29" i="17" s="1"/>
  <c r="G29" i="17" l="1"/>
  <c r="G28" i="17"/>
  <c r="D30" i="17" l="1"/>
  <c r="H30" i="17" s="1"/>
  <c r="D31" i="17" l="1"/>
  <c r="H31" i="17" s="1"/>
  <c r="G30" i="17"/>
  <c r="D32" i="17" l="1"/>
  <c r="H32" i="17" s="1"/>
  <c r="G31" i="17"/>
  <c r="O45" i="17"/>
  <c r="G32" i="17" l="1"/>
  <c r="D45" i="17"/>
  <c r="D33" i="17"/>
  <c r="O46" i="17"/>
  <c r="S2" i="22" l="1"/>
  <c r="U7" i="22" s="1"/>
  <c r="U8" i="22" s="1"/>
  <c r="H33" i="17"/>
  <c r="G33" i="17"/>
  <c r="D34" i="17"/>
  <c r="H34" i="17" s="1"/>
  <c r="G45" i="17"/>
  <c r="G34" i="17" l="1"/>
  <c r="D35" i="17" l="1"/>
  <c r="H35" i="17" s="1"/>
  <c r="D36" i="17"/>
  <c r="H36" i="17" s="1"/>
  <c r="O47" i="17" l="1"/>
  <c r="O48" i="17" s="1"/>
  <c r="P2" i="22"/>
  <c r="R7" i="22" s="1"/>
  <c r="R8" i="22" s="1"/>
  <c r="G36" i="17"/>
  <c r="D37" i="17"/>
  <c r="H37" i="17" s="1"/>
  <c r="D38" i="17"/>
  <c r="H38" i="17" s="1"/>
  <c r="O49" i="17"/>
  <c r="O50" i="17" s="1"/>
  <c r="P50" i="17" s="1"/>
  <c r="Q50" i="17" s="1"/>
  <c r="R50" i="17" s="1"/>
  <c r="S50" i="17" s="1"/>
  <c r="T50" i="17" s="1"/>
  <c r="U50" i="17" s="1"/>
  <c r="V50" i="17" s="1"/>
  <c r="W50" i="17" s="1"/>
  <c r="X50" i="17" s="1"/>
  <c r="Y50" i="17" s="1"/>
  <c r="Z50" i="17" s="1"/>
  <c r="G35" i="17"/>
  <c r="D46" i="17"/>
  <c r="D39" i="17" l="1"/>
  <c r="G38" i="17"/>
  <c r="G46" i="17"/>
  <c r="G37" i="17"/>
  <c r="D47" i="17" l="1"/>
  <c r="D48" i="17" s="1"/>
  <c r="G48" i="17" s="1"/>
  <c r="H39" i="17"/>
  <c r="G47" i="17"/>
  <c r="G39" i="17"/>
  <c r="D49" i="17"/>
  <c r="J7" i="22" l="1"/>
  <c r="G49" i="17"/>
  <c r="M7" i="22" l="1"/>
  <c r="V2" i="22" s="1"/>
  <c r="H42" i="17"/>
  <c r="A7" i="22"/>
  <c r="B52" i="17"/>
  <c r="G2" i="22" s="1"/>
  <c r="H49" i="17"/>
  <c r="H44" i="17"/>
  <c r="H45" i="17"/>
  <c r="D7" i="22"/>
  <c r="H41" i="17"/>
  <c r="H46" i="17"/>
  <c r="H47" i="17"/>
  <c r="H43" i="17"/>
  <c r="G7" i="22" l="1"/>
  <c r="O51" i="17" s="1"/>
  <c r="P51" i="17" s="1"/>
  <c r="Q51" i="17" s="1"/>
  <c r="R51" i="17" s="1"/>
  <c r="S51" i="17" s="1"/>
  <c r="T51" i="17" s="1"/>
  <c r="U51" i="17" s="1"/>
  <c r="V51" i="17" s="1"/>
  <c r="W51" i="17" s="1"/>
  <c r="X51" i="17" s="1"/>
  <c r="Y51" i="17" s="1"/>
  <c r="Z51" i="17" s="1"/>
  <c r="H48" i="17"/>
</calcChain>
</file>

<file path=xl/sharedStrings.xml><?xml version="1.0" encoding="utf-8"?>
<sst xmlns="http://schemas.openxmlformats.org/spreadsheetml/2006/main" count="214" uniqueCount="105">
  <si>
    <t>Extra Income</t>
  </si>
  <si>
    <t>Difference</t>
  </si>
  <si>
    <t>Actual</t>
  </si>
  <si>
    <t>Rental</t>
  </si>
  <si>
    <t>Internet</t>
  </si>
  <si>
    <t>Electricity</t>
  </si>
  <si>
    <t>Groceries</t>
  </si>
  <si>
    <t>Stocks</t>
  </si>
  <si>
    <t>Phone</t>
  </si>
  <si>
    <t>Clothing</t>
  </si>
  <si>
    <t>Salary</t>
  </si>
  <si>
    <t>Drinks</t>
  </si>
  <si>
    <t>Entertainment</t>
  </si>
  <si>
    <t>Car</t>
  </si>
  <si>
    <t>Dining out</t>
  </si>
  <si>
    <t>Beauty</t>
  </si>
  <si>
    <t>Living</t>
  </si>
  <si>
    <t>Income</t>
  </si>
  <si>
    <t>Remarks</t>
  </si>
  <si>
    <t>Amount</t>
  </si>
  <si>
    <t>Expense</t>
  </si>
  <si>
    <t>Transactions</t>
  </si>
  <si>
    <t>Date</t>
  </si>
  <si>
    <t>Petrol</t>
  </si>
  <si>
    <t>Gifts</t>
  </si>
  <si>
    <t>Car Maintainence</t>
  </si>
  <si>
    <t>Vacation</t>
  </si>
  <si>
    <t>Parents</t>
  </si>
  <si>
    <t>Sports</t>
  </si>
  <si>
    <t>Home Maintainence</t>
  </si>
  <si>
    <t>Living Others</t>
  </si>
  <si>
    <t>Food Others</t>
  </si>
  <si>
    <t>Personal Others</t>
  </si>
  <si>
    <t>Transportation Others</t>
  </si>
  <si>
    <t>Personal</t>
  </si>
  <si>
    <t>Food</t>
  </si>
  <si>
    <t>April</t>
  </si>
  <si>
    <t>Pension Fund</t>
  </si>
  <si>
    <t>Income/Expense</t>
  </si>
  <si>
    <t>Budget</t>
  </si>
  <si>
    <t>Main Category</t>
  </si>
  <si>
    <t>Sub-Category</t>
  </si>
  <si>
    <t>May</t>
  </si>
  <si>
    <t>Cash Withdrawal</t>
  </si>
  <si>
    <t>MC/Expense</t>
  </si>
  <si>
    <t>Investment</t>
  </si>
  <si>
    <t>Budget/Income</t>
  </si>
  <si>
    <t>Cash Flow</t>
  </si>
  <si>
    <t>N/A</t>
  </si>
  <si>
    <t>June</t>
  </si>
  <si>
    <t>Public Transport</t>
  </si>
  <si>
    <t>Haircut</t>
  </si>
  <si>
    <t>Annual Budget</t>
  </si>
  <si>
    <t>Insurance</t>
  </si>
  <si>
    <t>Medical Insurance</t>
  </si>
  <si>
    <t>Subscriptions</t>
  </si>
  <si>
    <t>Monthly Budget</t>
  </si>
  <si>
    <t>July</t>
  </si>
  <si>
    <t>March</t>
  </si>
  <si>
    <t>August</t>
  </si>
  <si>
    <t>September</t>
  </si>
  <si>
    <t>October</t>
  </si>
  <si>
    <t>November</t>
  </si>
  <si>
    <t>December</t>
  </si>
  <si>
    <t>Cash flow</t>
  </si>
  <si>
    <t>Latest Saving</t>
  </si>
  <si>
    <t>Actual Cash Flow</t>
  </si>
  <si>
    <t>Bank account (B.O.Y.)</t>
  </si>
  <si>
    <t>Bank account (Latest)</t>
  </si>
  <si>
    <t>Cumulative</t>
  </si>
  <si>
    <t>Projected</t>
  </si>
  <si>
    <t>Target</t>
  </si>
  <si>
    <t>Suggested Cash Flow</t>
  </si>
  <si>
    <t>Remaining Months</t>
  </si>
  <si>
    <t>Calculated Months</t>
  </si>
  <si>
    <t>Receivable</t>
  </si>
  <si>
    <t>Actual Income</t>
  </si>
  <si>
    <t>Actual Expense</t>
  </si>
  <si>
    <t>Budget Income</t>
  </si>
  <si>
    <t>Budget Expense</t>
  </si>
  <si>
    <t>Monthly Report:</t>
  </si>
  <si>
    <t>New Monthly Report :</t>
  </si>
  <si>
    <t>January</t>
  </si>
  <si>
    <t>February</t>
  </si>
  <si>
    <t>2020 Target Saving</t>
  </si>
  <si>
    <t>Electronics</t>
  </si>
  <si>
    <t>Total Months</t>
  </si>
  <si>
    <t>Monthly Avg</t>
  </si>
  <si>
    <t>Actual/AB</t>
  </si>
  <si>
    <t>Transport</t>
  </si>
  <si>
    <t>Stocks BUY</t>
  </si>
  <si>
    <t>Stocks SELL</t>
  </si>
  <si>
    <t>Insurance 1</t>
  </si>
  <si>
    <t>Insurance 2</t>
  </si>
  <si>
    <t>Investment 2</t>
  </si>
  <si>
    <t>Investment 1</t>
  </si>
  <si>
    <t>Car Insurance</t>
  </si>
  <si>
    <t>Pension SELL</t>
  </si>
  <si>
    <t>Pension BUY</t>
  </si>
  <si>
    <t>ipad</t>
  </si>
  <si>
    <t>lidl</t>
  </si>
  <si>
    <t>H&amp;M</t>
  </si>
  <si>
    <t>Total Saving</t>
  </si>
  <si>
    <t>Month (string)</t>
  </si>
  <si>
    <t>Month (int)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</si>
</sst>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$&quot;"/>
    <numFmt numFmtId="165" formatCode="#,##0.00\ [$€-407];[Red]\-#,##0.00\ [$€-407]"/>
    <numFmt numFmtId="166" formatCode="mm/dd/yy;@"/>
    <numFmt numFmtId="167" formatCode="0.00\€"/>
  </numFmts>
  <fonts count="12" x14ac:knownFonts="1">
    <font>
      <sz val="11"/>
      <color rgb="FF000000"/>
      <name val="Calibri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00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6">
    <xf numFmtId="0" fontId="0" fillId="0" borderId="0"/>
    <xf numFmtId="0" fontId="6" fillId="0" borderId="2" applyNumberFormat="0" applyFill="0" applyAlignment="0" applyProtection="0"/>
    <xf numFmtId="0" fontId="7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3" borderId="0" applyNumberFormat="0" applyBorder="0" applyAlignment="0" applyProtection="0"/>
    <xf numFmtId="0" fontId="11" fillId="14" borderId="0" applyNumberFormat="0" applyBorder="0" applyAlignment="0" applyProtection="0"/>
  </cellStyleXfs>
  <cellXfs count="113">
    <xf numFmtId="0" fontId="0" fillId="0" borderId="0" xfId="0"/>
    <xf numFmtId="0" fontId="1" fillId="0" borderId="0" xfId="0" applyFont="1"/>
    <xf numFmtId="164" fontId="1" fillId="0" borderId="0" xfId="0" applyNumberFormat="1" applyFont="1"/>
    <xf numFmtId="164" fontId="0" fillId="0" borderId="0" xfId="0" applyNumberFormat="1"/>
    <xf numFmtId="0" fontId="0" fillId="0" borderId="0" xfId="0"/>
    <xf numFmtId="0" fontId="1" fillId="2" borderId="0" xfId="0" applyFont="1" applyFill="1"/>
    <xf numFmtId="0" fontId="0" fillId="2" borderId="0" xfId="0" applyFill="1"/>
    <xf numFmtId="14" fontId="0" fillId="0" borderId="0" xfId="0" applyNumberFormat="1"/>
    <xf numFmtId="10" fontId="0" fillId="8" borderId="0" xfId="0" applyNumberFormat="1" applyFill="1" applyBorder="1"/>
    <xf numFmtId="10" fontId="0" fillId="3" borderId="0" xfId="0" applyNumberFormat="1" applyFill="1" applyBorder="1"/>
    <xf numFmtId="10" fontId="0" fillId="5" borderId="0" xfId="0" applyNumberFormat="1" applyFill="1" applyBorder="1"/>
    <xf numFmtId="10" fontId="0" fillId="6" borderId="0" xfId="0" applyNumberFormat="1" applyFill="1" applyBorder="1"/>
    <xf numFmtId="0" fontId="1" fillId="8" borderId="0" xfId="0" applyFont="1" applyFill="1" applyBorder="1"/>
    <xf numFmtId="0" fontId="0" fillId="8" borderId="0" xfId="0" applyFill="1" applyBorder="1"/>
    <xf numFmtId="0" fontId="1" fillId="3" borderId="0" xfId="0" applyFont="1" applyFill="1" applyBorder="1"/>
    <xf numFmtId="0" fontId="0" fillId="3" borderId="0" xfId="0" applyFill="1" applyBorder="1"/>
    <xf numFmtId="0" fontId="1" fillId="4" borderId="0" xfId="0" applyFont="1" applyFill="1" applyBorder="1"/>
    <xf numFmtId="0" fontId="0" fillId="4" borderId="0" xfId="0" applyFill="1" applyBorder="1"/>
    <xf numFmtId="0" fontId="0" fillId="4" borderId="0" xfId="0" applyFont="1" applyFill="1" applyBorder="1"/>
    <xf numFmtId="0" fontId="1" fillId="5" borderId="0" xfId="0" applyFont="1" applyFill="1" applyBorder="1"/>
    <xf numFmtId="0" fontId="0" fillId="5" borderId="0" xfId="0" applyFill="1" applyBorder="1"/>
    <xf numFmtId="0" fontId="1" fillId="6" borderId="0" xfId="0" applyFont="1" applyFill="1" applyBorder="1"/>
    <xf numFmtId="0" fontId="0" fillId="6" borderId="0" xfId="0" applyFill="1" applyBorder="1"/>
    <xf numFmtId="0" fontId="1" fillId="7" borderId="0" xfId="0" applyFont="1" applyFill="1" applyBorder="1"/>
    <xf numFmtId="0" fontId="0" fillId="7" borderId="0" xfId="0" applyFont="1" applyFill="1" applyBorder="1"/>
    <xf numFmtId="0" fontId="2" fillId="0" borderId="0" xfId="0" applyFont="1" applyBorder="1"/>
    <xf numFmtId="0" fontId="0" fillId="0" borderId="0" xfId="0" applyBorder="1"/>
    <xf numFmtId="0" fontId="1" fillId="0" borderId="0" xfId="0" applyFont="1" applyBorder="1"/>
    <xf numFmtId="165" fontId="2" fillId="0" borderId="0" xfId="0" applyNumberFormat="1" applyFont="1" applyBorder="1"/>
    <xf numFmtId="165" fontId="0" fillId="8" borderId="0" xfId="0" applyNumberFormat="1" applyFill="1" applyBorder="1"/>
    <xf numFmtId="165" fontId="0" fillId="3" borderId="0" xfId="0" applyNumberFormat="1" applyFill="1" applyBorder="1"/>
    <xf numFmtId="165" fontId="0" fillId="4" borderId="0" xfId="0" applyNumberFormat="1" applyFill="1" applyBorder="1"/>
    <xf numFmtId="165" fontId="0" fillId="5" borderId="0" xfId="0" applyNumberFormat="1" applyFill="1" applyBorder="1"/>
    <xf numFmtId="165" fontId="0" fillId="6" borderId="0" xfId="0" applyNumberFormat="1" applyFill="1" applyBorder="1"/>
    <xf numFmtId="165" fontId="0" fillId="7" borderId="0" xfId="0" applyNumberFormat="1" applyFill="1" applyBorder="1"/>
    <xf numFmtId="165" fontId="0" fillId="2" borderId="0" xfId="0" applyNumberFormat="1" applyFill="1"/>
    <xf numFmtId="165" fontId="0" fillId="0" borderId="0" xfId="0" applyNumberFormat="1"/>
    <xf numFmtId="165" fontId="0" fillId="2" borderId="0" xfId="0" applyNumberFormat="1" applyFill="1" applyAlignment="1">
      <alignment horizontal="right"/>
    </xf>
    <xf numFmtId="165" fontId="1" fillId="8" borderId="0" xfId="0" applyNumberFormat="1" applyFont="1" applyFill="1" applyBorder="1"/>
    <xf numFmtId="165" fontId="1" fillId="3" borderId="0" xfId="0" applyNumberFormat="1" applyFont="1" applyFill="1" applyBorder="1"/>
    <xf numFmtId="165" fontId="1" fillId="4" borderId="0" xfId="0" applyNumberFormat="1" applyFont="1" applyFill="1" applyBorder="1"/>
    <xf numFmtId="165" fontId="1" fillId="5" borderId="0" xfId="0" applyNumberFormat="1" applyFont="1" applyFill="1" applyBorder="1"/>
    <xf numFmtId="165" fontId="1" fillId="6" borderId="0" xfId="0" applyNumberFormat="1" applyFont="1" applyFill="1" applyBorder="1"/>
    <xf numFmtId="165" fontId="1" fillId="7" borderId="0" xfId="0" applyNumberFormat="1" applyFont="1" applyFill="1" applyBorder="1"/>
    <xf numFmtId="165" fontId="1" fillId="2" borderId="0" xfId="0" applyNumberFormat="1" applyFont="1" applyFill="1" applyAlignment="1">
      <alignment horizontal="right"/>
    </xf>
    <xf numFmtId="165" fontId="4" fillId="0" borderId="1" xfId="0" applyNumberFormat="1" applyFont="1" applyBorder="1"/>
    <xf numFmtId="165" fontId="1" fillId="2" borderId="0" xfId="0" applyNumberFormat="1" applyFont="1" applyFill="1" applyBorder="1" applyAlignment="1">
      <alignment horizontal="right"/>
    </xf>
    <xf numFmtId="0" fontId="5" fillId="9" borderId="0" xfId="0" applyFont="1" applyFill="1"/>
    <xf numFmtId="0" fontId="4" fillId="9" borderId="0" xfId="0" applyFont="1" applyFill="1" applyBorder="1"/>
    <xf numFmtId="0" fontId="5" fillId="8" borderId="0" xfId="0" applyFont="1" applyFill="1" applyBorder="1"/>
    <xf numFmtId="0" fontId="5" fillId="0" borderId="0" xfId="0" applyFont="1" applyBorder="1"/>
    <xf numFmtId="0" fontId="5" fillId="3" borderId="0" xfId="0" applyFont="1" applyFill="1" applyBorder="1"/>
    <xf numFmtId="0" fontId="5" fillId="9" borderId="0" xfId="0" applyFont="1" applyFill="1" applyBorder="1"/>
    <xf numFmtId="0" fontId="5" fillId="4" borderId="0" xfId="0" applyFont="1" applyFill="1" applyBorder="1"/>
    <xf numFmtId="0" fontId="5" fillId="5" borderId="0" xfId="0" applyFont="1" applyFill="1" applyBorder="1"/>
    <xf numFmtId="0" fontId="5" fillId="6" borderId="0" xfId="0" applyFont="1" applyFill="1" applyBorder="1"/>
    <xf numFmtId="0" fontId="5" fillId="7" borderId="0" xfId="0" applyFont="1" applyFill="1" applyBorder="1"/>
    <xf numFmtId="0" fontId="5" fillId="2" borderId="0" xfId="0" applyFont="1" applyFill="1"/>
    <xf numFmtId="165" fontId="1" fillId="2" borderId="0" xfId="0" applyNumberFormat="1" applyFont="1" applyFill="1"/>
    <xf numFmtId="0" fontId="4" fillId="0" borderId="1" xfId="0" applyFont="1" applyBorder="1"/>
    <xf numFmtId="0" fontId="5" fillId="2" borderId="0" xfId="0" applyFont="1" applyFill="1" applyBorder="1"/>
    <xf numFmtId="165" fontId="1" fillId="2" borderId="0" xfId="0" applyNumberFormat="1" applyFont="1" applyFill="1" applyBorder="1"/>
    <xf numFmtId="165" fontId="1" fillId="0" borderId="0" xfId="0" applyNumberFormat="1" applyFont="1"/>
    <xf numFmtId="10" fontId="0" fillId="0" borderId="0" xfId="0" applyNumberFormat="1"/>
    <xf numFmtId="10" fontId="0" fillId="2" borderId="0" xfId="0" applyNumberFormat="1" applyFill="1"/>
    <xf numFmtId="9" fontId="0" fillId="0" borderId="0" xfId="0" applyNumberFormat="1"/>
    <xf numFmtId="0" fontId="5" fillId="0" borderId="0" xfId="0" applyFont="1"/>
    <xf numFmtId="166" fontId="0" fillId="0" borderId="0" xfId="0" applyNumberFormat="1" applyAlignment="1">
      <alignment horizontal="right"/>
    </xf>
    <xf numFmtId="166" fontId="1" fillId="0" borderId="0" xfId="0" applyNumberFormat="1" applyFont="1" applyAlignment="1">
      <alignment horizontal="right"/>
    </xf>
    <xf numFmtId="167" fontId="0" fillId="0" borderId="0" xfId="0" applyNumberFormat="1"/>
    <xf numFmtId="0" fontId="6" fillId="10" borderId="2" xfId="1" applyFill="1"/>
    <xf numFmtId="165" fontId="6" fillId="10" borderId="2" xfId="1" applyNumberFormat="1" applyFill="1"/>
    <xf numFmtId="10" fontId="1" fillId="4" borderId="0" xfId="0" applyNumberFormat="1" applyFont="1" applyFill="1" applyBorder="1"/>
    <xf numFmtId="10" fontId="1" fillId="7" borderId="0" xfId="0" applyNumberFormat="1" applyFont="1" applyFill="1" applyBorder="1"/>
    <xf numFmtId="0" fontId="1" fillId="10" borderId="0" xfId="0" applyFont="1" applyFill="1"/>
    <xf numFmtId="165" fontId="0" fillId="10" borderId="0" xfId="0" applyNumberFormat="1" applyFill="1"/>
    <xf numFmtId="10" fontId="0" fillId="10" borderId="0" xfId="0" applyNumberFormat="1" applyFill="1"/>
    <xf numFmtId="0" fontId="5" fillId="8" borderId="3" xfId="0" applyFont="1" applyFill="1" applyBorder="1"/>
    <xf numFmtId="165" fontId="1" fillId="8" borderId="4" xfId="0" applyNumberFormat="1" applyFont="1" applyFill="1" applyBorder="1"/>
    <xf numFmtId="0" fontId="5" fillId="3" borderId="3" xfId="0" applyFont="1" applyFill="1" applyBorder="1"/>
    <xf numFmtId="165" fontId="1" fillId="3" borderId="4" xfId="0" applyNumberFormat="1" applyFont="1" applyFill="1" applyBorder="1"/>
    <xf numFmtId="0" fontId="5" fillId="4" borderId="3" xfId="0" applyFont="1" applyFill="1" applyBorder="1"/>
    <xf numFmtId="165" fontId="5" fillId="4" borderId="4" xfId="0" applyNumberFormat="1" applyFont="1" applyFill="1" applyBorder="1"/>
    <xf numFmtId="0" fontId="5" fillId="5" borderId="3" xfId="0" applyFont="1" applyFill="1" applyBorder="1"/>
    <xf numFmtId="165" fontId="1" fillId="5" borderId="4" xfId="0" applyNumberFormat="1" applyFont="1" applyFill="1" applyBorder="1"/>
    <xf numFmtId="0" fontId="5" fillId="6" borderId="3" xfId="0" applyFont="1" applyFill="1" applyBorder="1"/>
    <xf numFmtId="165" fontId="1" fillId="6" borderId="4" xfId="0" applyNumberFormat="1" applyFont="1" applyFill="1" applyBorder="1"/>
    <xf numFmtId="0" fontId="5" fillId="7" borderId="3" xfId="0" applyFont="1" applyFill="1" applyBorder="1"/>
    <xf numFmtId="165" fontId="5" fillId="7" borderId="4" xfId="0" applyNumberFormat="1" applyFont="1" applyFill="1" applyBorder="1"/>
    <xf numFmtId="0" fontId="5" fillId="2" borderId="3" xfId="0" applyFont="1" applyFill="1" applyBorder="1"/>
    <xf numFmtId="165" fontId="1" fillId="2" borderId="4" xfId="0" applyNumberFormat="1" applyFont="1" applyFill="1" applyBorder="1"/>
    <xf numFmtId="165" fontId="11" fillId="14" borderId="4" xfId="5" applyNumberFormat="1" applyBorder="1"/>
    <xf numFmtId="0" fontId="11" fillId="14" borderId="4" xfId="5" applyBorder="1"/>
    <xf numFmtId="165" fontId="5" fillId="5" borderId="0" xfId="0" applyNumberFormat="1" applyFont="1" applyFill="1" applyBorder="1"/>
    <xf numFmtId="10" fontId="0" fillId="4" borderId="0" xfId="0" applyNumberFormat="1" applyFill="1" applyBorder="1"/>
    <xf numFmtId="10" fontId="0" fillId="7" borderId="0" xfId="0" applyNumberFormat="1" applyFill="1" applyBorder="1"/>
    <xf numFmtId="10" fontId="1" fillId="8" borderId="4" xfId="0" applyNumberFormat="1" applyFont="1" applyFill="1" applyBorder="1"/>
    <xf numFmtId="10" fontId="1" fillId="3" borderId="4" xfId="0" applyNumberFormat="1" applyFont="1" applyFill="1" applyBorder="1"/>
    <xf numFmtId="10" fontId="5" fillId="4" borderId="4" xfId="0" applyNumberFormat="1" applyFont="1" applyFill="1" applyBorder="1"/>
    <xf numFmtId="10" fontId="1" fillId="5" borderId="4" xfId="0" applyNumberFormat="1" applyFont="1" applyFill="1" applyBorder="1"/>
    <xf numFmtId="10" fontId="1" fillId="6" borderId="4" xfId="0" applyNumberFormat="1" applyFont="1" applyFill="1" applyBorder="1"/>
    <xf numFmtId="10" fontId="5" fillId="7" borderId="4" xfId="0" applyNumberFormat="1" applyFont="1" applyFill="1" applyBorder="1"/>
    <xf numFmtId="10" fontId="1" fillId="2" borderId="4" xfId="0" applyNumberFormat="1" applyFont="1" applyFill="1" applyBorder="1"/>
    <xf numFmtId="10" fontId="11" fillId="14" borderId="4" xfId="5" applyNumberFormat="1" applyBorder="1"/>
    <xf numFmtId="10" fontId="6" fillId="10" borderId="2" xfId="1" applyNumberFormat="1" applyFill="1"/>
    <xf numFmtId="165" fontId="0" fillId="0" borderId="0" xfId="0" applyNumberFormat="1" applyAlignment="1">
      <alignment horizontal="left"/>
    </xf>
    <xf numFmtId="10" fontId="0" fillId="0" borderId="0" xfId="0" applyNumberFormat="1" applyAlignment="1">
      <alignment horizontal="left"/>
    </xf>
    <xf numFmtId="165" fontId="0" fillId="2" borderId="0" xfId="0" applyNumberFormat="1" applyFill="1" applyAlignment="1"/>
    <xf numFmtId="0" fontId="8" fillId="12" borderId="0" xfId="3" applyFont="1" applyAlignment="1">
      <alignment horizontal="center"/>
    </xf>
    <xf numFmtId="165" fontId="7" fillId="11" borderId="0" xfId="2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10" fillId="13" borderId="0" xfId="4" applyNumberFormat="1" applyAlignment="1">
      <alignment horizontal="center"/>
    </xf>
    <xf numFmtId="165" fontId="11" fillId="14" borderId="0" xfId="5" applyNumberFormat="1" applyAlignment="1">
      <alignment horizontal="center"/>
    </xf>
  </cellXfs>
  <cellStyles count="6">
    <cellStyle name="Accent1" xfId="3" builtinId="29"/>
    <cellStyle name="Bad" xfId="5" builtinId="27"/>
    <cellStyle name="Good" xfId="4" builtinId="26"/>
    <cellStyle name="Neutral" xfId="2" builtinId="28"/>
    <cellStyle name="Normal" xfId="0" builtinId="0"/>
    <cellStyle name="Total" xfId="1" builtinId="25"/>
  </cellStyles>
  <dxfs count="60">
    <dxf>
      <numFmt numFmtId="14" formatCode="0.00%"/>
    </dxf>
    <dxf>
      <numFmt numFmtId="14" formatCode="0.00%"/>
    </dxf>
    <dxf>
      <numFmt numFmtId="167" formatCode="0.00\€"/>
    </dxf>
    <dxf>
      <numFmt numFmtId="167" formatCode="0.00\€"/>
    </dxf>
    <dxf>
      <numFmt numFmtId="167" formatCode="0.00\€"/>
    </dxf>
    <dxf>
      <numFmt numFmtId="167" formatCode="0.00\€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border outline="0"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5" formatCode="#,##0.00\ [$€-407];[Red]\-#,##0.00\ [$€-407]"/>
    </dxf>
    <dxf>
      <numFmt numFmtId="166" formatCode="mm/dd/yy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</dxf>
    <dxf>
      <numFmt numFmtId="14" formatCode="0.00%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numFmt numFmtId="165" formatCode="#,##0.00\ [$€-407];[Red]\-#,##0.00\ [$€-407]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numFmt numFmtId="14" formatCode="0.00%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  <fill>
        <patternFill patternType="solid">
          <fgColor indexed="64"/>
          <bgColor rgb="FFFFFF00"/>
        </patternFill>
      </fill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numFmt numFmtId="165" formatCode="#,##0.00\ [$€-407];[Red]\-#,##0.00\ [$€-407]"/>
    </dxf>
    <dxf>
      <numFmt numFmtId="165" formatCode="#,##0.00\ [$€-407];[Red]\-#,##0.00\ [$€-407]"/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b val="0"/>
        <i val="0"/>
        <color rgb="FF00B050"/>
      </font>
    </dxf>
    <dxf>
      <font>
        <color rgb="FFF40CC8"/>
      </font>
    </dxf>
    <dxf>
      <font>
        <color rgb="FFFF0000"/>
      </font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66FF33"/>
          </stop>
        </gradientFill>
      </fill>
    </dxf>
    <dxf>
      <font>
        <color rgb="FFFF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  <dxf>
      <font>
        <color theme="9" tint="-0.24994659260841701"/>
      </font>
      <fill>
        <gradientFill degree="90">
          <stop position="0">
            <color theme="0"/>
          </stop>
          <stop position="1">
            <color rgb="FF85FF85"/>
          </stop>
        </gradientFill>
      </fill>
    </dxf>
    <dxf>
      <font>
        <color rgb="FFC00000"/>
      </font>
      <fill>
        <gradientFill degree="90">
          <stop position="0">
            <color theme="0"/>
          </stop>
          <stop position="1">
            <color rgb="FFFF8F8F"/>
          </stop>
        </gradientFill>
      </fill>
    </dxf>
  </dxfs>
  <tableStyles count="0" defaultTableStyle="TableStyleMedium2" defaultPivotStyle="PivotStyleLight16"/>
  <colors>
    <mruColors>
      <color rgb="FFF40CC8"/>
      <color rgb="FFFF8F8F"/>
      <color rgb="FF66FF33"/>
      <color rgb="FF85FF85"/>
      <color rgb="FFEA00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Annual Sub-Categories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Annual!$G$2:$G$39</c15:sqref>
                  </c15:fullRef>
                </c:ext>
              </c:extLst>
              <c:f>Annual!$G$4:$G$39</c:f>
              <c:numCache>
                <c:formatCode>0.00%</c:formatCode>
                <c:ptCount val="36"/>
                <c:pt idx="0">
                  <c:v>0</c:v>
                </c:pt>
                <c:pt idx="1">
                  <c:v>5.8333333333333334E-2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8.3333333333333329E-2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0.13886111111111113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0.96944444444444444</c:v>
                </c:pt>
                <c:pt idx="21">
                  <c:v>0</c:v>
                </c:pt>
                <c:pt idx="22">
                  <c:v>0</c:v>
                </c:pt>
                <c:pt idx="23">
                  <c:v>8.3333333333333329E-2</c:v>
                </c:pt>
                <c:pt idx="24">
                  <c:v>8.3333333333333329E-2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8.3333333333333329E-2</c:v>
                </c:pt>
                <c:pt idx="30">
                  <c:v>0</c:v>
                </c:pt>
                <c:pt idx="31">
                  <c:v>0</c:v>
                </c:pt>
                <c:pt idx="32">
                  <c:v>8.3333333333333329E-2</c:v>
                </c:pt>
                <c:pt idx="33">
                  <c:v>8.3333333333333329E-2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E48-9A12-8373A43DFDCC}"/>
            </c:ext>
          </c:extLst>
        </c:ser>
        <c:ser>
          <c:idx val="1"/>
          <c:order val="1"/>
          <c:spPr>
            <a:noFill/>
            <a:ln>
              <a:solidFill>
                <a:srgbClr val="FF0000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elete val="1"/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Annual!$C$2:$C$39</c15:sqref>
                  </c15:fullRef>
                </c:ext>
              </c:extLst>
              <c:f>Annual!$C$4:$C$39</c:f>
              <c:strCache>
                <c:ptCount val="36"/>
                <c:pt idx="0">
                  <c:v>Dining out</c:v>
                </c:pt>
                <c:pt idx="1">
                  <c:v>Groceries</c:v>
                </c:pt>
                <c:pt idx="2">
                  <c:v>Drinks</c:v>
                </c:pt>
                <c:pt idx="3">
                  <c:v>Cash Withdrawal</c:v>
                </c:pt>
                <c:pt idx="4">
                  <c:v>Food Others</c:v>
                </c:pt>
                <c:pt idx="5">
                  <c:v>Rental</c:v>
                </c:pt>
                <c:pt idx="6">
                  <c:v>Electricity</c:v>
                </c:pt>
                <c:pt idx="7">
                  <c:v>Internet</c:v>
                </c:pt>
                <c:pt idx="8">
                  <c:v>Home Maintainence</c:v>
                </c:pt>
                <c:pt idx="9">
                  <c:v>Living Others</c:v>
                </c:pt>
                <c:pt idx="10">
                  <c:v>Entertainment</c:v>
                </c:pt>
                <c:pt idx="11">
                  <c:v>Beauty</c:v>
                </c:pt>
                <c:pt idx="12">
                  <c:v>Haircut</c:v>
                </c:pt>
                <c:pt idx="13">
                  <c:v>Clothing</c:v>
                </c:pt>
                <c:pt idx="14">
                  <c:v>Gifts</c:v>
                </c:pt>
                <c:pt idx="15">
                  <c:v>Parents</c:v>
                </c:pt>
                <c:pt idx="16">
                  <c:v>Phone</c:v>
                </c:pt>
                <c:pt idx="17">
                  <c:v>Subscriptions</c:v>
                </c:pt>
                <c:pt idx="18">
                  <c:v>Sports</c:v>
                </c:pt>
                <c:pt idx="19">
                  <c:v>Vacation</c:v>
                </c:pt>
                <c:pt idx="20">
                  <c:v>Electronics</c:v>
                </c:pt>
                <c:pt idx="21">
                  <c:v>Receivable</c:v>
                </c:pt>
                <c:pt idx="22">
                  <c:v>Personal Others</c:v>
                </c:pt>
                <c:pt idx="23">
                  <c:v>Car</c:v>
                </c:pt>
                <c:pt idx="24">
                  <c:v>Car Insurance</c:v>
                </c:pt>
                <c:pt idx="25">
                  <c:v>Petrol</c:v>
                </c:pt>
                <c:pt idx="26">
                  <c:v>Public Transport</c:v>
                </c:pt>
                <c:pt idx="27">
                  <c:v>Car Maintainence</c:v>
                </c:pt>
                <c:pt idx="28">
                  <c:v>Transportation Others</c:v>
                </c:pt>
                <c:pt idx="29">
                  <c:v>Pension Fund</c:v>
                </c:pt>
                <c:pt idx="30">
                  <c:v>Investment 1</c:v>
                </c:pt>
                <c:pt idx="31">
                  <c:v>Investment 2</c:v>
                </c:pt>
                <c:pt idx="32">
                  <c:v>Stocks</c:v>
                </c:pt>
                <c:pt idx="33">
                  <c:v>Medical Insurance</c:v>
                </c:pt>
                <c:pt idx="34">
                  <c:v>Insurance 1</c:v>
                </c:pt>
                <c:pt idx="35">
                  <c:v>Insurance 2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Annual!$AF$2:$AF$39</c15:sqref>
                  </c15:fullRef>
                </c:ext>
              </c:extLst>
              <c:f>Annual!$AF$4:$AF$39</c:f>
              <c:numCache>
                <c:formatCode>General</c:formatCode>
                <c:ptCount val="3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1C-4E48-9A12-8373A43DFDC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-511218320"/>
        <c:axId val="-511209616"/>
      </c:barChart>
      <c:catAx>
        <c:axId val="-51121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9616"/>
        <c:crosses val="autoZero"/>
        <c:auto val="1"/>
        <c:lblAlgn val="ctr"/>
        <c:lblOffset val="100"/>
        <c:noMultiLvlLbl val="0"/>
      </c:catAx>
      <c:valAx>
        <c:axId val="-51120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Annual!$C$42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Annual!$O$42:$Z$42</c:f>
              <c:numCache>
                <c:formatCode>#,##0.00\ [$€-407];[Red]\-#,##0.00\ [$€-407]</c:formatCode>
                <c:ptCount val="12"/>
                <c:pt idx="0">
                  <c:v>70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72-45B8-9FD3-A7860C701596}"/>
            </c:ext>
          </c:extLst>
        </c:ser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(Annual!$B$57,Annual!$B$57,Annual!$B$57,Annual!$B$57,Annual!$B$57,Annual!$B$57,Annual!$B$57,Annual!$B$57,Annual!$B$57,Annual!$B$57,Annual!$B$57,Annual!$B$57)</c:f>
              <c:numCache>
                <c:formatCode>#,##0.00\ [$€-407];[Red]\-#,##0.00\ [$€-407]</c:formatCode>
                <c:ptCount val="12"/>
                <c:pt idx="0">
                  <c:v>320.01</c:v>
                </c:pt>
                <c:pt idx="1">
                  <c:v>320.01</c:v>
                </c:pt>
                <c:pt idx="2">
                  <c:v>320.01</c:v>
                </c:pt>
                <c:pt idx="3">
                  <c:v>320.01</c:v>
                </c:pt>
                <c:pt idx="4">
                  <c:v>320.01</c:v>
                </c:pt>
                <c:pt idx="5">
                  <c:v>320.01</c:v>
                </c:pt>
                <c:pt idx="6">
                  <c:v>320.01</c:v>
                </c:pt>
                <c:pt idx="7">
                  <c:v>320.01</c:v>
                </c:pt>
                <c:pt idx="8">
                  <c:v>320.01</c:v>
                </c:pt>
                <c:pt idx="9">
                  <c:v>320.01</c:v>
                </c:pt>
                <c:pt idx="10">
                  <c:v>320.01</c:v>
                </c:pt>
                <c:pt idx="11">
                  <c:v>320.01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2-45B8-9FD3-A7860C70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7232"/>
        <c:axId val="-511210160"/>
      </c:lineChart>
      <c:catAx>
        <c:axId val="-51121723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0160"/>
        <c:crosses val="autoZero"/>
        <c:auto val="1"/>
        <c:lblAlgn val="ctr"/>
        <c:lblOffset val="100"/>
        <c:noMultiLvlLbl val="0"/>
      </c:catAx>
      <c:valAx>
        <c:axId val="-51121016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Annual!$C$46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Annual!$O$46:$Z$46</c:f>
              <c:numCache>
                <c:formatCode>#,##0.00\ [$€-407];[Red]\-#,##0.00\ [$€-407]</c:formatCode>
                <c:ptCount val="12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B3-4E82-B577-CF2C0A65A5DB}"/>
            </c:ext>
          </c:extLst>
        </c:ser>
        <c:ser>
          <c:idx val="1"/>
          <c:order val="1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(Annual!$B$61,Annual!$B$61,Annual!$B$61,Annual!$B$61,Annual!$B$61,Annual!$B$61,Annual!$B$61,Annual!$B$61,Annual!$B$61,Annual!$B$61,Annual!$B$61,Annual!$B$61)</c:f>
              <c:numCache>
                <c:formatCode>#,##0.00\ [$€-407];[Red]\-#,##0.00\ [$€-407]</c:formatCode>
                <c:ptCount val="12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B3-4E82-B577-CF2C0A65A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4512"/>
        <c:axId val="-511213968"/>
      </c:lineChart>
      <c:catAx>
        <c:axId val="-5112145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968"/>
        <c:crosses val="autoZero"/>
        <c:auto val="1"/>
        <c:lblAlgn val="ctr"/>
        <c:lblOffset val="100"/>
        <c:noMultiLvlLbl val="0"/>
      </c:catAx>
      <c:valAx>
        <c:axId val="-51121396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Insurance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Annual!$C$47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Annual!$O$47:$Z$47</c:f>
              <c:numCache>
                <c:formatCode>#,##0.00\ [$€-407];[Red]\-#,##0.00\ [$€-407]</c:formatCode>
                <c:ptCount val="12"/>
                <c:pt idx="0">
                  <c:v>250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D-4AF8-B07E-648A7940BDC0}"/>
            </c:ext>
          </c:extLst>
        </c:ser>
        <c:ser>
          <c:idx val="1"/>
          <c:order val="1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(Annual!$B$62,Annual!$B$62,Annual!$B$62,Annual!$B$62,Annual!$B$62,Annual!$B$62,Annual!$B$62,Annual!$B$62,Annual!$B$62,Annual!$B$62,Annual!$B$62,Annual!$B$62)</c:f>
              <c:numCache>
                <c:formatCode>#,##0.00\ [$€-407];[Red]\-#,##0.00\ [$€-407]</c:formatCode>
                <c:ptCount val="12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D-4AF8-B07E-648A7940B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13424"/>
        <c:axId val="-511212880"/>
      </c:lineChart>
      <c:catAx>
        <c:axId val="-5112134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2880"/>
        <c:crosses val="autoZero"/>
        <c:auto val="1"/>
        <c:lblAlgn val="ctr"/>
        <c:lblOffset val="100"/>
        <c:noMultiLvlLbl val="0"/>
      </c:catAx>
      <c:valAx>
        <c:axId val="-51121288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1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Annual!$C$49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Annual!$O$49:$Z$49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E-4ED9-9283-BBA1A3688010}"/>
            </c:ext>
          </c:extLst>
        </c:ser>
        <c:ser>
          <c:idx val="1"/>
          <c:order val="1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(Annual!$B$63,Annual!$B$63,Annual!$B$63,Annual!$B$63,Annual!$B$63,Annual!$B$63,Annual!$B$63,Annual!$B$63,Annual!$B$63,Annual!$B$63,Annual!$B$63,Annual!$B$63)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118.97000000000003</c:v>
                </c:pt>
                <c:pt idx="2">
                  <c:v>118.97000000000003</c:v>
                </c:pt>
                <c:pt idx="3">
                  <c:v>118.97000000000003</c:v>
                </c:pt>
                <c:pt idx="4">
                  <c:v>118.97000000000003</c:v>
                </c:pt>
                <c:pt idx="5">
                  <c:v>118.97000000000003</c:v>
                </c:pt>
                <c:pt idx="6">
                  <c:v>118.97000000000003</c:v>
                </c:pt>
                <c:pt idx="7">
                  <c:v>118.97000000000003</c:v>
                </c:pt>
                <c:pt idx="8">
                  <c:v>118.97000000000003</c:v>
                </c:pt>
                <c:pt idx="9">
                  <c:v>118.97000000000003</c:v>
                </c:pt>
                <c:pt idx="10">
                  <c:v>118.97000000000003</c:v>
                </c:pt>
                <c:pt idx="11">
                  <c:v>118.97000000000003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E-4ED9-9283-BBA1A3688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11207440"/>
        <c:axId val="-652085408"/>
      </c:lineChart>
      <c:catAx>
        <c:axId val="-5112074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85408"/>
        <c:crosses val="autoZero"/>
        <c:auto val="1"/>
        <c:lblAlgn val="ctr"/>
        <c:lblOffset val="100"/>
        <c:noMultiLvlLbl val="0"/>
      </c:catAx>
      <c:valAx>
        <c:axId val="-65208540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1120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Annual!$N$50</c:f>
              <c:strCache>
                <c:ptCount val="1"/>
                <c:pt idx="0">
                  <c:v>Cumulative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Annual!$O$50:$Z$50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656.01</c:v>
                </c:pt>
                <c:pt idx="2">
                  <c:v>656.01</c:v>
                </c:pt>
                <c:pt idx="3">
                  <c:v>656.01</c:v>
                </c:pt>
                <c:pt idx="4">
                  <c:v>656.01</c:v>
                </c:pt>
                <c:pt idx="5">
                  <c:v>656.01</c:v>
                </c:pt>
                <c:pt idx="6">
                  <c:v>656.01</c:v>
                </c:pt>
                <c:pt idx="7">
                  <c:v>656.01</c:v>
                </c:pt>
                <c:pt idx="8">
                  <c:v>656.01</c:v>
                </c:pt>
                <c:pt idx="9">
                  <c:v>656.01</c:v>
                </c:pt>
                <c:pt idx="10">
                  <c:v>656.01</c:v>
                </c:pt>
                <c:pt idx="11">
                  <c:v>656.01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0-4450-82CA-D70DFE7969E8}"/>
            </c:ext>
          </c:extLst>
        </c:ser>
        <c:ser>
          <c:idx val="1"/>
          <c:order val="1"/>
          <c:tx>
            <c:strRef>
              <c:f>Annual!$N$51</c:f>
              <c:strCache>
                <c:ptCount val="1"/>
                <c:pt idx="0">
                  <c:v>Projected</c:v>
                </c:pt>
              </c:strCache>
            </c:strRef>
          </c:tx>
          <c:spPr>
            <a:ln w="317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Annual!$O$51:$Z$51</c:f>
              <c:numCache>
                <c:formatCode>#,##0.00\ [$€-407];[Red]\-#,##0.00\ [$€-407]</c:formatCode>
                <c:ptCount val="12"/>
                <c:pt idx="0">
                  <c:v>656.01</c:v>
                </c:pt>
                <c:pt idx="1">
                  <c:v>1312.02</c:v>
                </c:pt>
                <c:pt idx="2">
                  <c:v>1968.03</c:v>
                </c:pt>
                <c:pt idx="3">
                  <c:v>2624.04</c:v>
                </c:pt>
                <c:pt idx="4">
                  <c:v>3280.05</c:v>
                </c:pt>
                <c:pt idx="5">
                  <c:v>3936.0600000000004</c:v>
                </c:pt>
                <c:pt idx="6">
                  <c:v>4592.0700000000006</c:v>
                </c:pt>
                <c:pt idx="7">
                  <c:v>5248.0800000000008</c:v>
                </c:pt>
                <c:pt idx="8">
                  <c:v>5904.0900000000011</c:v>
                </c:pt>
                <c:pt idx="9">
                  <c:v>6560.1000000000013</c:v>
                </c:pt>
                <c:pt idx="10">
                  <c:v>7216.1100000000015</c:v>
                </c:pt>
                <c:pt idx="11">
                  <c:v>7872.1200000000017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C0-4450-82CA-D70DFE7969E8}"/>
            </c:ext>
          </c:extLst>
        </c:ser>
        <c:ser>
          <c:idx val="2"/>
          <c:order val="2"/>
          <c:tx>
            <c:strRef>
              <c:f>Annual!$N$52</c:f>
              <c:strCache>
                <c:ptCount val="1"/>
                <c:pt idx="0">
                  <c:v>Target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Annual!$O$52:$Z$52</c:f>
              <c:numCache>
                <c:formatCode>#,##0.00\ [$€-407];[Red]\-#,##0.00\ [$€-407]</c:formatCode>
                <c:ptCount val="12"/>
                <c:pt idx="0">
                  <c:v>118.97000000000003</c:v>
                </c:pt>
                <c:pt idx="1">
                  <c:v>237.94000000000005</c:v>
                </c:pt>
                <c:pt idx="2">
                  <c:v>356.91000000000008</c:v>
                </c:pt>
                <c:pt idx="3">
                  <c:v>475.88000000000011</c:v>
                </c:pt>
                <c:pt idx="4">
                  <c:v>594.85000000000014</c:v>
                </c:pt>
                <c:pt idx="5">
                  <c:v>713.82000000000016</c:v>
                </c:pt>
                <c:pt idx="6">
                  <c:v>832.79000000000019</c:v>
                </c:pt>
                <c:pt idx="7">
                  <c:v>951.76000000000022</c:v>
                </c:pt>
                <c:pt idx="8">
                  <c:v>1070.7300000000002</c:v>
                </c:pt>
                <c:pt idx="9">
                  <c:v>1189.7000000000003</c:v>
                </c:pt>
                <c:pt idx="10">
                  <c:v>1308.6700000000003</c:v>
                </c:pt>
                <c:pt idx="11">
                  <c:v>1427.6400000000003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C0-4450-82CA-D70DFE796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652091392"/>
        <c:axId val="-701030848"/>
      </c:lineChart>
      <c:catAx>
        <c:axId val="-65209139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01030848"/>
        <c:crosses val="autoZero"/>
        <c:auto val="1"/>
        <c:lblAlgn val="ctr"/>
        <c:lblOffset val="100"/>
        <c:noMultiLvlLbl val="0"/>
      </c:catAx>
      <c:valAx>
        <c:axId val="-70103084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</a:t>
                </a:r>
                <a:r>
                  <a:rPr lang="en-US" baseline="0"/>
                  <a:t> /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520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B5-4FC6-84BB-3F2D1DED70CE}"/>
            </c:ext>
          </c:extLst>
        </c:ser>
        <c:ser>
          <c:idx val="1"/>
          <c:order val="1"/>
          <c:tx>
            <c:strRef>
              <c:f>Annual!$A$56</c:f>
              <c:strCache>
                <c:ptCount val="1"/>
                <c:pt idx="0">
                  <c:v>Income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(Annual!$B$56,Annual!$B$56,Annual!$B$56,Annual!$B$56,Annual!$B$56,Annual!$B$56,Annual!$B$56,Annual!$B$56,Annual!$B$56,Annual!$B$56,Annual!$B$56,Annual!$B$56)</c:f>
              <c:numCache>
                <c:formatCode>#,##0.00\ [$€-407];[Red]\-#,##0.00\ [$€-407]</c:formatCode>
                <c:ptCount val="12"/>
                <c:pt idx="0">
                  <c:v>2100</c:v>
                </c:pt>
                <c:pt idx="1">
                  <c:v>2100</c:v>
                </c:pt>
                <c:pt idx="2">
                  <c:v>2100</c:v>
                </c:pt>
                <c:pt idx="3">
                  <c:v>2100</c:v>
                </c:pt>
                <c:pt idx="4">
                  <c:v>2100</c:v>
                </c:pt>
                <c:pt idx="5">
                  <c:v>2100</c:v>
                </c:pt>
                <c:pt idx="6">
                  <c:v>2100</c:v>
                </c:pt>
                <c:pt idx="7">
                  <c:v>2100</c:v>
                </c:pt>
                <c:pt idx="8">
                  <c:v>2100</c:v>
                </c:pt>
                <c:pt idx="9">
                  <c:v>2100</c:v>
                </c:pt>
                <c:pt idx="10">
                  <c:v>2100</c:v>
                </c:pt>
                <c:pt idx="11">
                  <c:v>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B5-4FC6-84BB-3F2D1DED7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5008"/>
        <c:axId val="-541084464"/>
      </c:lineChart>
      <c:catAx>
        <c:axId val="-54108500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4464"/>
        <c:crosses val="autoZero"/>
        <c:auto val="1"/>
        <c:lblAlgn val="ctr"/>
        <c:lblOffset val="100"/>
        <c:noMultiLvlLbl val="0"/>
      </c:catAx>
      <c:valAx>
        <c:axId val="-54108446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Expense vs Income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Annual!$C$48</c:f>
              <c:strCache>
                <c:ptCount val="1"/>
                <c:pt idx="0">
                  <c:v>Expense</c:v>
                </c:pt>
              </c:strCache>
            </c:strRef>
          </c:tx>
          <c:spPr>
            <a:ln w="31750" cap="rnd" cmpd="sng">
              <a:solidFill>
                <a:schemeClr val="accent1"/>
              </a:solidFill>
              <a:round/>
              <a:headEnd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>
                <a:solidFill>
                  <a:schemeClr val="accent1">
                    <a:alpha val="94000"/>
                  </a:schemeClr>
                </a:solidFill>
              </a:ln>
              <a:effectLst/>
            </c:spPr>
          </c:marker>
          <c:val>
            <c:numRef>
              <c:f>Annual!$O$48:$Z$48</c:f>
              <c:numCache>
                <c:formatCode>#,##0.00\ [$€-407];[Red]\-#,##0.00\ [$€-407]</c:formatCode>
                <c:ptCount val="12"/>
                <c:pt idx="0">
                  <c:v>1343.99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25-47D0-99EC-FD18BE2E7A8A}"/>
            </c:ext>
          </c:extLst>
        </c:ser>
        <c:ser>
          <c:idx val="1"/>
          <c:order val="1"/>
          <c:tx>
            <c:strRef>
              <c:f>Annual!$C$41</c:f>
              <c:strCache>
                <c:ptCount val="1"/>
                <c:pt idx="0">
                  <c:v>Income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val>
            <c:numRef>
              <c:f>Annual!$O$41:$Z$41</c:f>
              <c:numCache>
                <c:formatCode>#,##0.00\ [$€-407];[Red]\-#,##0.00\ [$€-407]</c:formatCode>
                <c:ptCount val="12"/>
                <c:pt idx="0">
                  <c:v>2000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25-47D0-99EC-FD18BE2E7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816"/>
        <c:axId val="-541087728"/>
      </c:lineChart>
      <c:catAx>
        <c:axId val="-541088816"/>
        <c:scaling>
          <c:orientation val="minMax"/>
        </c:scaling>
        <c:delete val="0"/>
        <c:axPos val="b"/>
        <c:minorGridlines>
          <c:spPr>
            <a:ln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728"/>
        <c:crosses val="autoZero"/>
        <c:auto val="1"/>
        <c:lblAlgn val="ctr"/>
        <c:lblOffset val="100"/>
        <c:noMultiLvlLbl val="0"/>
      </c:catAx>
      <c:valAx>
        <c:axId val="-5410877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1" i="0" u="none" strike="noStrike" kern="1200" baseline="0">
                    <a:solidFill>
                      <a:sysClr val="windowText" lastClr="000000">
                        <a:lumMod val="75000"/>
                        <a:lumOff val="2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 i="0" baseline="0">
                    <a:effectLst/>
                  </a:rPr>
                  <a:t>Euro / €</a:t>
                </a:r>
                <a:endParaRPr lang="en-US" sz="9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1" i="0" u="none" strike="noStrike" kern="1200" baseline="0">
                  <a:solidFill>
                    <a:sysClr val="windowText" lastClr="000000">
                      <a:lumMod val="75000"/>
                      <a:lumOff val="2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Living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Annual!$C$43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Annual!$O$43:$Z$43</c:f>
              <c:numCache>
                <c:formatCode>#,##0.00\ [$€-407];[Red]\-#,##0.00\ [$€-407]</c:formatCode>
                <c:ptCount val="12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C8-4E16-AAEB-128944F0D150}"/>
            </c:ext>
          </c:extLst>
        </c:ser>
        <c:ser>
          <c:idx val="1"/>
          <c:order val="1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(Annual!$B$58,Annual!$B$58,Annual!$B$58,Annual!$B$58,Annual!$B$58,Annual!$B$58,Annual!$B$58,Annual!$B$58,Annual!$B$58,Annual!$B$58,Annual!$B$58,Annual!$B$58)</c:f>
              <c:numCache>
                <c:formatCode>#,##0.00\ [$€-407];[Red]\-#,##0.00\ [$€-407]</c:formatCode>
                <c:ptCount val="12"/>
                <c:pt idx="0">
                  <c:v>356</c:v>
                </c:pt>
                <c:pt idx="1">
                  <c:v>356</c:v>
                </c:pt>
                <c:pt idx="2">
                  <c:v>356</c:v>
                </c:pt>
                <c:pt idx="3">
                  <c:v>356</c:v>
                </c:pt>
                <c:pt idx="4">
                  <c:v>356</c:v>
                </c:pt>
                <c:pt idx="5">
                  <c:v>356</c:v>
                </c:pt>
                <c:pt idx="6">
                  <c:v>356</c:v>
                </c:pt>
                <c:pt idx="7">
                  <c:v>356</c:v>
                </c:pt>
                <c:pt idx="8">
                  <c:v>356</c:v>
                </c:pt>
                <c:pt idx="9">
                  <c:v>356</c:v>
                </c:pt>
                <c:pt idx="10">
                  <c:v>356</c:v>
                </c:pt>
                <c:pt idx="11">
                  <c:v>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C8-4E16-AAEB-128944F0D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3920"/>
        <c:axId val="-541086640"/>
      </c:lineChart>
      <c:catAx>
        <c:axId val="-54108392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6640"/>
        <c:crosses val="autoZero"/>
        <c:auto val="1"/>
        <c:lblAlgn val="ctr"/>
        <c:lblOffset val="100"/>
        <c:noMultiLvlLbl val="0"/>
      </c:catAx>
      <c:valAx>
        <c:axId val="-541086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</a:t>
                </a:r>
                <a:r>
                  <a:rPr lang="en-US" baseline="0"/>
                  <a:t> €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Personal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Annual!$C$44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Annual!$O$44:$Z$44</c:f>
              <c:numCache>
                <c:formatCode>#,##0.00\ [$€-407];[Red]\-#,##0.00\ [$€-407]</c:formatCode>
                <c:ptCount val="12"/>
                <c:pt idx="0">
                  <c:v>398.99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2-43CE-9886-31403A31279B}"/>
            </c:ext>
          </c:extLst>
        </c:ser>
        <c:ser>
          <c:idx val="1"/>
          <c:order val="1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(Annual!$B$59,Annual!$B$59,Annual!$B$59,Annual!$B$59,Annual!$B$59,Annual!$B$59,Annual!$B$59,Annual!$B$59,Annual!$B$59,Annual!$B$59,Annual!$B$59,Annual!$B$59)</c:f>
              <c:numCache>
                <c:formatCode>#,##0.00\ [$€-407];[Red]\-#,##0.00\ [$€-407]</c:formatCode>
                <c:ptCount val="12"/>
                <c:pt idx="0">
                  <c:v>475</c:v>
                </c:pt>
                <c:pt idx="1">
                  <c:v>475</c:v>
                </c:pt>
                <c:pt idx="2">
                  <c:v>475</c:v>
                </c:pt>
                <c:pt idx="3">
                  <c:v>475</c:v>
                </c:pt>
                <c:pt idx="4">
                  <c:v>475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475</c:v>
                </c:pt>
                <c:pt idx="10">
                  <c:v>475</c:v>
                </c:pt>
                <c:pt idx="11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B2-43CE-9886-31403A312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8272"/>
        <c:axId val="-541085552"/>
      </c:lineChart>
      <c:catAx>
        <c:axId val="-541088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5552"/>
        <c:crosses val="autoZero"/>
        <c:auto val="1"/>
        <c:lblAlgn val="ctr"/>
        <c:lblOffset val="100"/>
        <c:noMultiLvlLbl val="0"/>
      </c:catAx>
      <c:valAx>
        <c:axId val="-5410855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Transportation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Annual!$C$45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C000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rgbClr val="FFC000"/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Annual!$O$45:$Z$45</c:f>
              <c:numCache>
                <c:formatCode>#,##0.00\ [$€-407];[Red]\-#,##0.00\ [$€-407]</c:formatCode>
                <c:ptCount val="12"/>
                <c:pt idx="0">
                  <c:v>225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8-4670-A634-ABB263CC9C40}"/>
            </c:ext>
          </c:extLst>
        </c:ser>
        <c:ser>
          <c:idx val="1"/>
          <c:order val="1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dash"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(Annual!$B$60,Annual!$B$60,Annual!$B$60,Annual!$B$60,Annual!$B$60,Annual!$B$60,Annual!$B$60,Annual!$B$60,Annual!$B$60,Annual!$B$60,Annual!$B$60,Annual!$B$60)</c:f>
              <c:numCache>
                <c:formatCode>#,##0.00\ [$€-407];[Red]\-#,##0.00\ [$€-407]</c:formatCode>
                <c:ptCount val="12"/>
                <c:pt idx="0">
                  <c:v>355.02</c:v>
                </c:pt>
                <c:pt idx="1">
                  <c:v>355.02</c:v>
                </c:pt>
                <c:pt idx="2">
                  <c:v>355.02</c:v>
                </c:pt>
                <c:pt idx="3">
                  <c:v>355.02</c:v>
                </c:pt>
                <c:pt idx="4">
                  <c:v>355.02</c:v>
                </c:pt>
                <c:pt idx="5">
                  <c:v>355.02</c:v>
                </c:pt>
                <c:pt idx="6">
                  <c:v>355.02</c:v>
                </c:pt>
                <c:pt idx="7">
                  <c:v>355.02</c:v>
                </c:pt>
                <c:pt idx="8">
                  <c:v>355.02</c:v>
                </c:pt>
                <c:pt idx="9">
                  <c:v>355.02</c:v>
                </c:pt>
                <c:pt idx="10">
                  <c:v>355.02</c:v>
                </c:pt>
                <c:pt idx="11">
                  <c:v>355.02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D8-4670-A634-ABB263CC9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541087184"/>
        <c:axId val="-541089904"/>
      </c:lineChart>
      <c:catAx>
        <c:axId val="-5410871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9904"/>
        <c:crosses val="autoZero"/>
        <c:auto val="1"/>
        <c:lblAlgn val="ctr"/>
        <c:lblOffset val="100"/>
        <c:noMultiLvlLbl val="0"/>
      </c:catAx>
      <c:valAx>
        <c:axId val="-5410899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 vs Actual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Budget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(Annual!$E$41:$E$47,Annual!$E$49)</c15:sqref>
                  </c15:fullRef>
                </c:ext>
              </c:extLst>
              <c:f>(Annual!$E$42:$E$47,Annual!$E$49)</c:f>
              <c:numCache>
                <c:formatCode>#,##0.00\ [$€-407];[Red]\-#,##0.00\ [$€-407]</c:formatCode>
                <c:ptCount val="7"/>
                <c:pt idx="0">
                  <c:v>320.01</c:v>
                </c:pt>
                <c:pt idx="1">
                  <c:v>356</c:v>
                </c:pt>
                <c:pt idx="2">
                  <c:v>475</c:v>
                </c:pt>
                <c:pt idx="3">
                  <c:v>355.02</c:v>
                </c:pt>
                <c:pt idx="4">
                  <c:v>230</c:v>
                </c:pt>
                <c:pt idx="5">
                  <c:v>245</c:v>
                </c:pt>
                <c:pt idx="6">
                  <c:v>118.97000000000003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F-4C8D-A6D3-857ED03E2901}"/>
            </c:ext>
          </c:extLst>
        </c:ser>
        <c:ser>
          <c:idx val="1"/>
          <c:order val="1"/>
          <c:tx>
            <c:v>Actual</c:v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#,##0\ [$€-407]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(Annual!$C$41:$C$47,Annual!$C$49)</c15:sqref>
                  </c15:fullRef>
                </c:ext>
              </c:extLst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(Annual!$H$41:$H$47,Annual!$H$49)</c15:sqref>
                  </c15:fullRef>
                </c:ext>
              </c:extLst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F-4C8D-A6D3-857ED03E29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-541083376"/>
        <c:axId val="-541082832"/>
      </c:barChart>
      <c:catAx>
        <c:axId val="-54108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2832"/>
        <c:crosses val="autoZero"/>
        <c:auto val="1"/>
        <c:lblAlgn val="ctr"/>
        <c:lblOffset val="100"/>
        <c:noMultiLvlLbl val="0"/>
      </c:catAx>
      <c:valAx>
        <c:axId val="-5410828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Euro /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\ [$€-407];[Red]\-#,##0.00\ [$€-407]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108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301-4AA2-954E-F5AA5B29B4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301-4AA2-954E-F5AA5B29B4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301-4AA2-954E-F5AA5B29B4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301-4AA2-954E-F5AA5B29B45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301-4AA2-954E-F5AA5B29B458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301-4AA2-954E-F5AA5B29B458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301-4AA2-954E-F5AA5B29B45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(Annual!$C$42:$C$47,Annual!$C$49)</c:f>
              <c:strCache>
                <c:ptCount val="7"/>
                <c:pt idx="0">
                  <c:v>Food</c:v>
                </c:pt>
                <c:pt idx="1">
                  <c:v>Living</c:v>
                </c:pt>
                <c:pt idx="2">
                  <c:v>Personal</c:v>
                </c:pt>
                <c:pt idx="3">
                  <c:v>Transport</c:v>
                </c:pt>
                <c:pt idx="4">
                  <c:v>Investment</c:v>
                </c:pt>
                <c:pt idx="5">
                  <c:v>Insurance</c:v>
                </c:pt>
                <c:pt idx="6">
                  <c:v>Cash flow</c:v>
                </c:pt>
              </c:strCache>
            </c:strRef>
          </c:cat>
          <c:val>
            <c:numRef>
              <c:f>(Annual!$H$42:$H$47,Annual!$H$49)</c:f>
              <c:numCache>
                <c:formatCode>#,##0.00\ [$€-407];[Red]\-#,##0.00\ [$€-407]</c:formatCode>
                <c:ptCount val="7"/>
                <c:pt idx="0">
                  <c:v>70</c:v>
                </c:pt>
                <c:pt idx="1">
                  <c:v>300</c:v>
                </c:pt>
                <c:pt idx="2">
                  <c:v>398.99</c:v>
                </c:pt>
                <c:pt idx="3">
                  <c:v>225</c:v>
                </c:pt>
                <c:pt idx="4">
                  <c:v>150</c:v>
                </c:pt>
                <c:pt idx="5">
                  <c:v>200</c:v>
                </c:pt>
                <c:pt idx="6">
                  <c:v>656.01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01-4AA2-954E-F5AA5B29B458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Monthly Budget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Annual!$A$57</c:f>
              <c:strCache>
                <c:ptCount val="1"/>
                <c:pt idx="0">
                  <c:v>Food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Annual!$C$57</c:f>
              <c:numCache>
                <c:formatCode>0.00%</c:formatCode>
                <c:ptCount val="1"/>
                <c:pt idx="0">
                  <c:v>0.15238571428571429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A1-4FEE-931B-B2410F22E456}"/>
            </c:ext>
          </c:extLst>
        </c:ser>
        <c:ser>
          <c:idx val="2"/>
          <c:order val="2"/>
          <c:tx>
            <c:strRef>
              <c:f>Annual!$A$58</c:f>
              <c:strCache>
                <c:ptCount val="1"/>
                <c:pt idx="0">
                  <c:v>Living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Annual!$C$58</c:f>
              <c:numCache>
                <c:formatCode>0.00%</c:formatCode>
                <c:ptCount val="1"/>
                <c:pt idx="0">
                  <c:v>0.16952380952380952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A1-4FEE-931B-B2410F22E456}"/>
            </c:ext>
          </c:extLst>
        </c:ser>
        <c:ser>
          <c:idx val="3"/>
          <c:order val="3"/>
          <c:tx>
            <c:strRef>
              <c:f>Annual!$A$59</c:f>
              <c:strCache>
                <c:ptCount val="1"/>
                <c:pt idx="0">
                  <c:v>Personal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Annual!$C$59</c:f>
              <c:numCache>
                <c:formatCode>0.00%</c:formatCode>
                <c:ptCount val="1"/>
                <c:pt idx="0">
                  <c:v>0.22619047619047619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A1-4FEE-931B-B2410F22E456}"/>
            </c:ext>
          </c:extLst>
        </c:ser>
        <c:ser>
          <c:idx val="4"/>
          <c:order val="4"/>
          <c:tx>
            <c:strRef>
              <c:f>Annual!$A$60</c:f>
              <c:strCache>
                <c:ptCount val="1"/>
                <c:pt idx="0">
                  <c:v>Transport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Annual!$C$60</c:f>
              <c:numCache>
                <c:formatCode>0.00%</c:formatCode>
                <c:ptCount val="1"/>
                <c:pt idx="0">
                  <c:v>0.16905714285714285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A1-4FEE-931B-B2410F22E456}"/>
            </c:ext>
          </c:extLst>
        </c:ser>
        <c:ser>
          <c:idx val="5"/>
          <c:order val="5"/>
          <c:tx>
            <c:strRef>
              <c:f>Annual!$A$61</c:f>
              <c:strCache>
                <c:ptCount val="1"/>
                <c:pt idx="0">
                  <c:v>Investment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Annual!$C$61</c:f>
              <c:numCache>
                <c:formatCode>0.00%</c:formatCode>
                <c:ptCount val="1"/>
                <c:pt idx="0">
                  <c:v>0.10952380952380952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A1-4FEE-931B-B2410F22E456}"/>
            </c:ext>
          </c:extLst>
        </c:ser>
        <c:ser>
          <c:idx val="6"/>
          <c:order val="6"/>
          <c:tx>
            <c:strRef>
              <c:f>Annual!$A$62</c:f>
              <c:strCache>
                <c:ptCount val="1"/>
                <c:pt idx="0">
                  <c:v>Insurance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Annual!$C$62</c:f>
              <c:numCache>
                <c:formatCode>0.00%</c:formatCode>
                <c:ptCount val="1"/>
                <c:pt idx="0">
                  <c:v>0.11666666666666667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A1-4FEE-931B-B2410F22E456}"/>
            </c:ext>
          </c:extLst>
        </c:ser>
        <c:ser>
          <c:idx val="7"/>
          <c:order val="7"/>
          <c:tx>
            <c:strRef>
              <c:f>Annual!$A$63</c:f>
              <c:strCache>
                <c:ptCount val="1"/>
                <c:pt idx="0">
                  <c:v>Cash flow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Annual!$C$63</c:f>
              <c:numCache>
                <c:formatCode>0.00%</c:formatCode>
                <c:ptCount val="1"/>
                <c:pt idx="0">
                  <c:v>5.6652380952380968E-2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A1-4FEE-931B-B2410F22E45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-541089360"/>
        <c:axId val="-54108609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Annual!$A$56</c15:sqref>
                        </c15:formulaRef>
                      </c:ext>
                    </c:extLst>
                    <c:strCache>
                      <c:ptCount val="1"/>
                      <c:pt idx="0">
                        <c:v>Income</c:v>
                      </c:pt>
                    </c:strCache>
                  </c:strRef>
                </c:tx>
                <c:spPr>
                  <a:gradFill rotWithShape="1">
                    <a:gsLst>
                      <a:gs pos="0">
                        <a:schemeClr val="accent1">
                          <a:satMod val="103000"/>
                          <a:lumMod val="102000"/>
                          <a:tint val="94000"/>
                        </a:schemeClr>
                      </a:gs>
                      <a:gs pos="50000">
                        <a:schemeClr val="accent1">
                          <a:satMod val="110000"/>
                          <a:lumMod val="100000"/>
                          <a:shade val="100000"/>
                        </a:schemeClr>
                      </a:gs>
                      <a:gs pos="100000">
                        <a:schemeClr val="accent1">
                          <a:lumMod val="99000"/>
                          <a:satMod val="120000"/>
                          <a:shade val="78000"/>
                        </a:schemeClr>
                      </a:gs>
                    </a:gsLst>
                    <a:lin ang="5400000" scaled="0"/>
                  </a:gradFill>
                  <a:ln>
                    <a:noFill/>
                  </a:ln>
                  <a:effectLst>
                    <a:outerShdw blurRad="57150" dist="19050" dir="5400000" algn="ctr" rotWithShape="0">
                      <a:srgbClr val="000000">
                        <a:alpha val="63000"/>
                      </a:srgbClr>
                    </a:outerShdw>
                  </a:effectLst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lt1">
                                <a:lumMod val="95000"/>
                                <a:alpha val="54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Annual!$C$56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E9A1-4FEE-931B-B2410F22E456}"/>
                  </c:ext>
                </c:extLst>
              </c15:ser>
            </c15:filteredBarSeries>
          </c:ext>
        </c:extLst>
      </c:barChart>
      <c:catAx>
        <c:axId val="-5410893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541086096"/>
        <c:crosses val="autoZero"/>
        <c:auto val="1"/>
        <c:lblAlgn val="ctr"/>
        <c:lblOffset val="100"/>
        <c:noMultiLvlLbl val="0"/>
      </c:catAx>
      <c:valAx>
        <c:axId val="-541086096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-541089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Expenses (Sub-Categories)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January!$D$4:$D$37</c:f>
              <c:numCache>
                <c:formatCode>#,##0.00\ [$€-407];[Red]\-#,##0.00\ [$€-407]</c:formatCode>
                <c:ptCount val="34"/>
                <c:pt idx="0">
                  <c:v>0</c:v>
                </c:pt>
                <c:pt idx="1">
                  <c:v>70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49.99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349</c:v>
                </c:pt>
                <c:pt idx="21">
                  <c:v>0</c:v>
                </c:pt>
                <c:pt idx="22">
                  <c:v>0</c:v>
                </c:pt>
                <c:pt idx="23">
                  <c:v>150</c:v>
                </c:pt>
                <c:pt idx="24">
                  <c:v>75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100</c:v>
                </c:pt>
                <c:pt idx="30">
                  <c:v>0</c:v>
                </c:pt>
                <c:pt idx="31">
                  <c:v>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3-409D-BFC2-832F7E6E1FF6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multiLvlStrRef>
              <c:f>January!$B$4:$C$37</c:f>
              <c:multiLvlStrCache>
                <c:ptCount val="34"/>
                <c:lvl>
                  <c:pt idx="0">
                    <c:v>Dining out</c:v>
                  </c:pt>
                  <c:pt idx="1">
                    <c:v>Groceries</c:v>
                  </c:pt>
                  <c:pt idx="2">
                    <c:v>Drinks</c:v>
                  </c:pt>
                  <c:pt idx="3">
                    <c:v>Cash Withdrawal</c:v>
                  </c:pt>
                  <c:pt idx="4">
                    <c:v>Food Others</c:v>
                  </c:pt>
                  <c:pt idx="5">
                    <c:v>Rental</c:v>
                  </c:pt>
                  <c:pt idx="6">
                    <c:v>Electricity</c:v>
                  </c:pt>
                  <c:pt idx="7">
                    <c:v>Internet</c:v>
                  </c:pt>
                  <c:pt idx="8">
                    <c:v>Home Maintainence</c:v>
                  </c:pt>
                  <c:pt idx="9">
                    <c:v>Living Others</c:v>
                  </c:pt>
                  <c:pt idx="10">
                    <c:v>Entertainment</c:v>
                  </c:pt>
                  <c:pt idx="11">
                    <c:v>Beauty</c:v>
                  </c:pt>
                  <c:pt idx="12">
                    <c:v>Haircut</c:v>
                  </c:pt>
                  <c:pt idx="13">
                    <c:v>Clothing</c:v>
                  </c:pt>
                  <c:pt idx="14">
                    <c:v>Gifts</c:v>
                  </c:pt>
                  <c:pt idx="15">
                    <c:v>Parents</c:v>
                  </c:pt>
                  <c:pt idx="16">
                    <c:v>Phone</c:v>
                  </c:pt>
                  <c:pt idx="17">
                    <c:v>Subscriptions</c:v>
                  </c:pt>
                  <c:pt idx="18">
                    <c:v>Sports</c:v>
                  </c:pt>
                  <c:pt idx="19">
                    <c:v>Vacation</c:v>
                  </c:pt>
                  <c:pt idx="20">
                    <c:v>Electronics</c:v>
                  </c:pt>
                  <c:pt idx="21">
                    <c:v>Receivable</c:v>
                  </c:pt>
                  <c:pt idx="22">
                    <c:v>Personal Others</c:v>
                  </c:pt>
                  <c:pt idx="23">
                    <c:v>Car</c:v>
                  </c:pt>
                  <c:pt idx="24">
                    <c:v>Car Insurance</c:v>
                  </c:pt>
                  <c:pt idx="25">
                    <c:v>Petrol</c:v>
                  </c:pt>
                  <c:pt idx="26">
                    <c:v>Public Transport</c:v>
                  </c:pt>
                  <c:pt idx="27">
                    <c:v>Car Maintainence</c:v>
                  </c:pt>
                  <c:pt idx="28">
                    <c:v>Transportation Others</c:v>
                  </c:pt>
                  <c:pt idx="29">
                    <c:v>Pension Fund</c:v>
                  </c:pt>
                  <c:pt idx="30">
                    <c:v>Investment 1</c:v>
                  </c:pt>
                  <c:pt idx="31">
                    <c:v>Investment 2</c:v>
                  </c:pt>
                  <c:pt idx="32">
                    <c:v>Stocks</c:v>
                  </c:pt>
                  <c:pt idx="33">
                    <c:v>Medical Insurance</c:v>
                  </c:pt>
                </c:lvl>
                <c:lvl>
                  <c:pt idx="0">
                    <c:v>Food</c:v>
                  </c:pt>
                  <c:pt idx="5">
                    <c:v>Living</c:v>
                  </c:pt>
                  <c:pt idx="10">
                    <c:v>Personal</c:v>
                  </c:pt>
                  <c:pt idx="23">
                    <c:v>Transport</c:v>
                  </c:pt>
                  <c:pt idx="29">
                    <c:v>Investment</c:v>
                  </c:pt>
                  <c:pt idx="33">
                    <c:v>Insurance</c:v>
                  </c:pt>
                </c:lvl>
              </c:multiLvlStrCache>
            </c:multiLvlStrRef>
          </c:cat>
          <c:val>
            <c:numRef>
              <c:f>January!$E$4:$E$37</c:f>
              <c:numCache>
                <c:formatCode>#,##0.00\ [$€-407];[Red]\-#,##0.00\ [$€-407]</c:formatCode>
                <c:ptCount val="34"/>
                <c:pt idx="0">
                  <c:v>100</c:v>
                </c:pt>
                <c:pt idx="1">
                  <c:v>100</c:v>
                </c:pt>
                <c:pt idx="2">
                  <c:v>20</c:v>
                </c:pt>
                <c:pt idx="3">
                  <c:v>100</c:v>
                </c:pt>
                <c:pt idx="4">
                  <c:v>0.01</c:v>
                </c:pt>
                <c:pt idx="5">
                  <c:v>300</c:v>
                </c:pt>
                <c:pt idx="6">
                  <c:v>30</c:v>
                </c:pt>
                <c:pt idx="7">
                  <c:v>6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20</c:v>
                </c:pt>
                <c:pt idx="12">
                  <c:v>10</c:v>
                </c:pt>
                <c:pt idx="13">
                  <c:v>30</c:v>
                </c:pt>
                <c:pt idx="14">
                  <c:v>30</c:v>
                </c:pt>
                <c:pt idx="15">
                  <c:v>100</c:v>
                </c:pt>
                <c:pt idx="16">
                  <c:v>10</c:v>
                </c:pt>
                <c:pt idx="17">
                  <c:v>5</c:v>
                </c:pt>
                <c:pt idx="18">
                  <c:v>10</c:v>
                </c:pt>
                <c:pt idx="19">
                  <c:v>100</c:v>
                </c:pt>
                <c:pt idx="20">
                  <c:v>30</c:v>
                </c:pt>
                <c:pt idx="21">
                  <c:v>10</c:v>
                </c:pt>
                <c:pt idx="22">
                  <c:v>100</c:v>
                </c:pt>
                <c:pt idx="23">
                  <c:v>150</c:v>
                </c:pt>
                <c:pt idx="24">
                  <c:v>75</c:v>
                </c:pt>
                <c:pt idx="25">
                  <c:v>0.01</c:v>
                </c:pt>
                <c:pt idx="26">
                  <c:v>100</c:v>
                </c:pt>
                <c:pt idx="27">
                  <c:v>0.01</c:v>
                </c:pt>
                <c:pt idx="28">
                  <c:v>30</c:v>
                </c:pt>
                <c:pt idx="29">
                  <c:v>100</c:v>
                </c:pt>
                <c:pt idx="30">
                  <c:v>30</c:v>
                </c:pt>
                <c:pt idx="31">
                  <c:v>50</c:v>
                </c:pt>
                <c:pt idx="32">
                  <c:v>50</c:v>
                </c:pt>
                <c:pt idx="33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A3-409D-BFC2-832F7E6E1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540396480"/>
        <c:axId val="-540392128"/>
      </c:barChart>
      <c:catAx>
        <c:axId val="-5403964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2128"/>
        <c:crosses val="autoZero"/>
        <c:auto val="1"/>
        <c:lblAlgn val="ctr"/>
        <c:lblOffset val="100"/>
        <c:noMultiLvlLbl val="0"/>
      </c:catAx>
      <c:valAx>
        <c:axId val="-54039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Actual</c:v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January!$B$40:$B$46</c:f>
              <c:numCache>
                <c:formatCode>0.00\€</c:formatCode>
                <c:ptCount val="7"/>
                <c:pt idx="1">
                  <c:v>0</c:v>
                </c:pt>
                <c:pt idx="2">
                  <c:v>2000</c:v>
                </c:pt>
                <c:pt idx="3">
                  <c:v>70</c:v>
                </c:pt>
                <c:pt idx="4">
                  <c:v>300</c:v>
                </c:pt>
                <c:pt idx="5">
                  <c:v>398.99</c:v>
                </c:pt>
                <c:pt idx="6">
                  <c:v>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B7-462F-8F23-136274F50B75}"/>
            </c:ext>
          </c:extLst>
        </c:ser>
        <c:ser>
          <c:idx val="1"/>
          <c:order val="1"/>
          <c:tx>
            <c:v>Budget</c:v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January!$A$40:$A$46</c:f>
              <c:strCache>
                <c:ptCount val="7"/>
                <c:pt idx="1">
                  <c:v>Main Category</c:v>
                </c:pt>
                <c:pt idx="2">
                  <c:v>Income</c:v>
                </c:pt>
                <c:pt idx="3">
                  <c:v>Food</c:v>
                </c:pt>
                <c:pt idx="4">
                  <c:v>Living</c:v>
                </c:pt>
                <c:pt idx="5">
                  <c:v>Personal</c:v>
                </c:pt>
                <c:pt idx="6">
                  <c:v>Transport</c:v>
                </c:pt>
              </c:strCache>
            </c:strRef>
          </c:cat>
          <c:val>
            <c:numRef>
              <c:f>January!$C$40:$C$46</c:f>
              <c:numCache>
                <c:formatCode>0.00\€</c:formatCode>
                <c:ptCount val="7"/>
                <c:pt idx="1">
                  <c:v>0</c:v>
                </c:pt>
                <c:pt idx="2">
                  <c:v>2100</c:v>
                </c:pt>
                <c:pt idx="3">
                  <c:v>320.01</c:v>
                </c:pt>
                <c:pt idx="4">
                  <c:v>356</c:v>
                </c:pt>
                <c:pt idx="5">
                  <c:v>475</c:v>
                </c:pt>
                <c:pt idx="6">
                  <c:v>355.02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B7-462F-8F23-136274F50B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15"/>
        <c:overlap val="-40"/>
        <c:axId val="-540397024"/>
        <c:axId val="-540389952"/>
      </c:barChart>
      <c:catAx>
        <c:axId val="-54039702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89952"/>
        <c:crosses val="autoZero"/>
        <c:auto val="1"/>
        <c:lblAlgn val="ctr"/>
        <c:lblOffset val="100"/>
        <c:noMultiLvlLbl val="0"/>
      </c:catAx>
      <c:valAx>
        <c:axId val="-5403899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\€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4039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Expenses (Main Categories)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42F-48D6-958E-BE7ACC1544C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42F-48D6-958E-BE7ACC1544C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0D-442B-B4C5-4F63F53A3CA4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42F-48D6-958E-BE7ACC1544CB}"/>
              </c:ext>
            </c:extLst>
          </c:dPt>
          <c:dPt>
            <c:idx val="4"/>
            <c:bubble3D val="0"/>
            <c: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A0D-442B-B4C5-4F63F53A3CA4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A0D-442B-B4C5-4F63F53A3CA4}"/>
              </c:ext>
            </c:extLst>
          </c:dPt>
          <c:dLbls>
            <c:dLbl>
              <c:idx val="3"/>
              <c:layout>
                <c:manualLayout>
                  <c:x val="-2.5000000000000001E-2"/>
                  <c:y val="-5.82423201539066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2F-48D6-958E-BE7ACC1544CB}"/>
                </c:ext>
              </c:extLst>
            </c:dLbl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January!$A$40:$A$46</c15:sqref>
                  </c15:fullRef>
                </c:ext>
              </c:extLst>
              <c:f>January!$A$41:$A$46</c:f>
              <c:strCache>
                <c:ptCount val="6"/>
                <c:pt idx="0">
                  <c:v>Main Category</c:v>
                </c:pt>
                <c:pt idx="1">
                  <c:v>Income</c:v>
                </c:pt>
                <c:pt idx="2">
                  <c:v>Food</c:v>
                </c:pt>
                <c:pt idx="3">
                  <c:v>Living</c:v>
                </c:pt>
                <c:pt idx="4">
                  <c:v>Personal</c:v>
                </c:pt>
                <c:pt idx="5">
                  <c:v>Transport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January!$B$40:$B$46</c15:sqref>
                  </c15:fullRef>
                </c:ext>
              </c:extLst>
              <c:f>January!$B$41:$B$46</c:f>
              <c:numCache>
                <c:formatCode>0.00\€</c:formatCode>
                <c:ptCount val="6"/>
                <c:pt idx="0">
                  <c:v>0</c:v>
                </c:pt>
                <c:pt idx="1">
                  <c:v>2000</c:v>
                </c:pt>
                <c:pt idx="2">
                  <c:v>70</c:v>
                </c:pt>
                <c:pt idx="3">
                  <c:v>300</c:v>
                </c:pt>
                <c:pt idx="4">
                  <c:v>398.99</c:v>
                </c:pt>
                <c:pt idx="5">
                  <c:v>225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January!$B$40</c15:sqref>
                  <c15:spPr xmlns:c15="http://schemas.microsoft.com/office/drawing/2012/chart">
                    <a:gradFill>
                      <a:gsLst>
                        <a:gs pos="100000">
                          <a:schemeClr val="accent1">
                            <a:lumMod val="60000"/>
                            <a:lumOff val="40000"/>
                          </a:schemeClr>
                        </a:gs>
                        <a:gs pos="0">
                          <a:schemeClr val="accent1"/>
                        </a:gs>
                      </a:gsLst>
                      <a:lin ang="5400000" scaled="0"/>
                    </a:gra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D124-4E40-BE42-9B25CDEC2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53</xdr:row>
      <xdr:rowOff>9525</xdr:rowOff>
    </xdr:from>
    <xdr:to>
      <xdr:col>20</xdr:col>
      <xdr:colOff>8467</xdr:colOff>
      <xdr:row>83</xdr:row>
      <xdr:rowOff>41275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184149</xdr:rowOff>
    </xdr:from>
    <xdr:to>
      <xdr:col>4</xdr:col>
      <xdr:colOff>710406</xdr:colOff>
      <xdr:row>38</xdr:row>
      <xdr:rowOff>117422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38</xdr:row>
      <xdr:rowOff>183092</xdr:rowOff>
    </xdr:from>
    <xdr:to>
      <xdr:col>4</xdr:col>
      <xdr:colOff>710406</xdr:colOff>
      <xdr:row>51</xdr:row>
      <xdr:rowOff>116364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33867</xdr:colOff>
      <xdr:row>38</xdr:row>
      <xdr:rowOff>183092</xdr:rowOff>
    </xdr:from>
    <xdr:to>
      <xdr:col>9</xdr:col>
      <xdr:colOff>744273</xdr:colOff>
      <xdr:row>51</xdr:row>
      <xdr:rowOff>116364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50800</xdr:colOff>
      <xdr:row>39</xdr:row>
      <xdr:rowOff>2117</xdr:rowOff>
    </xdr:from>
    <xdr:to>
      <xdr:col>14</xdr:col>
      <xdr:colOff>765556</xdr:colOff>
      <xdr:row>51</xdr:row>
      <xdr:rowOff>125561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57149</xdr:colOff>
      <xdr:row>8</xdr:row>
      <xdr:rowOff>188117</xdr:rowOff>
    </xdr:from>
    <xdr:to>
      <xdr:col>26</xdr:col>
      <xdr:colOff>47622</xdr:colOff>
      <xdr:row>24</xdr:row>
      <xdr:rowOff>188118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78316</xdr:colOff>
      <xdr:row>39</xdr:row>
      <xdr:rowOff>10583</xdr:rowOff>
    </xdr:from>
    <xdr:to>
      <xdr:col>20</xdr:col>
      <xdr:colOff>2498</xdr:colOff>
      <xdr:row>51</xdr:row>
      <xdr:rowOff>134027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750091</xdr:colOff>
      <xdr:row>8</xdr:row>
      <xdr:rowOff>188119</xdr:rowOff>
    </xdr:from>
    <xdr:to>
      <xdr:col>20</xdr:col>
      <xdr:colOff>23811</xdr:colOff>
      <xdr:row>25</xdr:row>
      <xdr:rowOff>11906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42333</xdr:colOff>
      <xdr:row>25</xdr:row>
      <xdr:rowOff>184150</xdr:rowOff>
    </xdr:from>
    <xdr:to>
      <xdr:col>9</xdr:col>
      <xdr:colOff>752739</xdr:colOff>
      <xdr:row>38</xdr:row>
      <xdr:rowOff>117423</xdr:rowOff>
    </xdr:to>
    <xdr:graphicFrame macro="">
      <xdr:nvGraphicFramePr>
        <xdr:cNvPr id="15" name="Diagram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50800</xdr:colOff>
      <xdr:row>25</xdr:row>
      <xdr:rowOff>184150</xdr:rowOff>
    </xdr:from>
    <xdr:to>
      <xdr:col>14</xdr:col>
      <xdr:colOff>761206</xdr:colOff>
      <xdr:row>38</xdr:row>
      <xdr:rowOff>117423</xdr:rowOff>
    </xdr:to>
    <xdr:graphicFrame macro="">
      <xdr:nvGraphicFramePr>
        <xdr:cNvPr id="16" name="Diagram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84667</xdr:colOff>
      <xdr:row>25</xdr:row>
      <xdr:rowOff>185209</xdr:rowOff>
    </xdr:from>
    <xdr:to>
      <xdr:col>19</xdr:col>
      <xdr:colOff>795073</xdr:colOff>
      <xdr:row>38</xdr:row>
      <xdr:rowOff>118482</xdr:rowOff>
    </xdr:to>
    <xdr:graphicFrame macro="">
      <xdr:nvGraphicFramePr>
        <xdr:cNvPr id="17" name="Diagram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9</xdr:row>
      <xdr:rowOff>6351</xdr:rowOff>
    </xdr:from>
    <xdr:to>
      <xdr:col>7</xdr:col>
      <xdr:colOff>628649</xdr:colOff>
      <xdr:row>25</xdr:row>
      <xdr:rowOff>9399</xdr:rowOff>
    </xdr:to>
    <xdr:graphicFrame macro="">
      <xdr:nvGraphicFramePr>
        <xdr:cNvPr id="18" name="Diagramm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666749</xdr:colOff>
      <xdr:row>8</xdr:row>
      <xdr:rowOff>190498</xdr:rowOff>
    </xdr:from>
    <xdr:to>
      <xdr:col>13</xdr:col>
      <xdr:colOff>714375</xdr:colOff>
      <xdr:row>25</xdr:row>
      <xdr:rowOff>11906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19050</xdr:rowOff>
    </xdr:from>
    <xdr:to>
      <xdr:col>4</xdr:col>
      <xdr:colOff>1095375</xdr:colOff>
      <xdr:row>80</xdr:row>
      <xdr:rowOff>114301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1</xdr:row>
          <xdr:rowOff>30480</xdr:rowOff>
        </xdr:from>
        <xdr:to>
          <xdr:col>10</xdr:col>
          <xdr:colOff>396240</xdr:colOff>
          <xdr:row>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Main Category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5</xdr:row>
          <xdr:rowOff>0</xdr:rowOff>
        </xdr:from>
        <xdr:to>
          <xdr:col>10</xdr:col>
          <xdr:colOff>396240</xdr:colOff>
          <xdr:row>8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Sub-Category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8</xdr:col>
          <xdr:colOff>22860</xdr:colOff>
          <xdr:row>2</xdr:row>
          <xdr:rowOff>175260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2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Monthly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182880</xdr:rowOff>
        </xdr:from>
        <xdr:to>
          <xdr:col>10</xdr:col>
          <xdr:colOff>495300</xdr:colOff>
          <xdr:row>2</xdr:row>
          <xdr:rowOff>175260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2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Monthy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17</xdr:row>
      <xdr:rowOff>66673</xdr:rowOff>
    </xdr:from>
    <xdr:to>
      <xdr:col>19</xdr:col>
      <xdr:colOff>561975</xdr:colOff>
      <xdr:row>55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66676</xdr:colOff>
      <xdr:row>0</xdr:row>
      <xdr:rowOff>0</xdr:rowOff>
    </xdr:from>
    <xdr:to>
      <xdr:col>13</xdr:col>
      <xdr:colOff>628650</xdr:colOff>
      <xdr:row>16</xdr:row>
      <xdr:rowOff>180974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666750</xdr:colOff>
      <xdr:row>0</xdr:row>
      <xdr:rowOff>0</xdr:rowOff>
    </xdr:from>
    <xdr:to>
      <xdr:col>19</xdr:col>
      <xdr:colOff>495300</xdr:colOff>
      <xdr:row>16</xdr:row>
      <xdr:rowOff>157163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_AnnualReport" displayName="Table_AnnualReport" ref="A1:H39" headerRowDxfId="39" dataDxfId="38">
  <autoFilter ref="A1:H39" xr:uid="{00000000-0009-0000-0100-000004000000}"/>
  <tableColumns count="8">
    <tableColumn id="1" xr3:uid="{00000000-0010-0000-0000-000001000000}" name="Income/Expense"/>
    <tableColumn id="2" xr3:uid="{00000000-0010-0000-0000-000002000000}" name="Main Category" dataDxfId="37"/>
    <tableColumn id="3" xr3:uid="{00000000-0010-0000-0000-000003000000}" name="Sub-Category" dataDxfId="36"/>
    <tableColumn id="4" xr3:uid="{00000000-0010-0000-0000-000004000000}" name="Actual" dataDxfId="35"/>
    <tableColumn id="7" xr3:uid="{00000000-0010-0000-0000-000007000000}" name="Monthly Budget" dataDxfId="34"/>
    <tableColumn id="5" xr3:uid="{00000000-0010-0000-0000-000005000000}" name="Annual Budget" dataDxfId="33"/>
    <tableColumn id="9" xr3:uid="{00000000-0010-0000-0000-000009000000}" name="Actual/AB" dataDxfId="32">
      <calculatedColumnFormula>Table_AnnualReport[[#This Row],[Actual]]/Table_AnnualReport[[#This Row],[Annual Budget]]</calculatedColumnFormula>
    </tableColumn>
    <tableColumn id="8" xr3:uid="{00000000-0010-0000-0000-000008000000}" name="Monthly Avg" dataDxfId="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le_ActualExpenseMonth" displayName="Table_ActualExpenseMonth" ref="L1:Z39" headerRowDxfId="30">
  <autoFilter ref="L1:Z39" xr:uid="{00000000-0009-0000-0100-000007000000}"/>
  <tableColumns count="15">
    <tableColumn id="13" xr3:uid="{E255D557-48B7-4692-BC84-546A5353C119}" name="Income/Expense" dataDxfId="29">
      <calculatedColumnFormula>IF(ISBLANK(Table_AnnualReport[[#This Row],[Income/Expense]]),L1,Table_AnnualReport[[#This Row],[Income/Expense]])</calculatedColumnFormula>
    </tableColumn>
    <tableColumn id="14" xr3:uid="{49E06C6D-445B-4B06-83B0-D1DC563CD759}" name="Main Category" dataDxfId="28">
      <calculatedColumnFormula>IF(ISBLANK(Table_AnnualReport[[#This Row],[Main Category]]),M1,Table_AnnualReport[[#This Row],[Main Category]])</calculatedColumnFormula>
    </tableColumn>
    <tableColumn id="15" xr3:uid="{7B02B2CB-9ED3-4AFA-8546-455403E87661}" name="Sub-Category" dataDxfId="27">
      <calculatedColumnFormula>IF(ISBLANK(Table_AnnualReport[[#This Row],[Sub-Category]]),N1,Table_AnnualReport[[#This Row],[Sub-Category]])</calculatedColumnFormula>
    </tableColumn>
    <tableColumn id="1" xr3:uid="{00000000-0010-0000-0100-000001000000}" name="January">
      <calculatedColumnFormula>January!D2</calculatedColumnFormula>
    </tableColumn>
    <tableColumn id="2" xr3:uid="{00000000-0010-0000-0100-000002000000}" name="February"/>
    <tableColumn id="3" xr3:uid="{00000000-0010-0000-0100-000003000000}" name="March"/>
    <tableColumn id="4" xr3:uid="{00000000-0010-0000-0100-000004000000}" name="April"/>
    <tableColumn id="5" xr3:uid="{00000000-0010-0000-0100-000005000000}" name="May"/>
    <tableColumn id="6" xr3:uid="{00000000-0010-0000-0100-000006000000}" name="June"/>
    <tableColumn id="7" xr3:uid="{00000000-0010-0000-0100-000007000000}" name="July" dataDxfId="26">
      <calculatedColumnFormula>#REF!</calculatedColumnFormula>
    </tableColumn>
    <tableColumn id="8" xr3:uid="{00000000-0010-0000-0100-000008000000}" name="August">
      <calculatedColumnFormula>#REF!</calculatedColumnFormula>
    </tableColumn>
    <tableColumn id="9" xr3:uid="{00000000-0010-0000-0100-000009000000}" name="September">
      <calculatedColumnFormula>#REF!</calculatedColumnFormula>
    </tableColumn>
    <tableColumn id="10" xr3:uid="{00000000-0010-0000-0100-00000A000000}" name="October" dataDxfId="25">
      <calculatedColumnFormula>#REF!</calculatedColumnFormula>
    </tableColumn>
    <tableColumn id="11" xr3:uid="{00000000-0010-0000-0100-00000B000000}" name="November" dataDxfId="24">
      <calculatedColumnFormula>#REF!</calculatedColumnFormula>
    </tableColumn>
    <tableColumn id="12" xr3:uid="{00000000-0010-0000-0100-00000C000000}" name="December" dataDxfId="2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Tabelle12" displayName="Tabelle12" ref="A55:C63" totalsRowShown="0" headerRowDxfId="22">
  <autoFilter ref="A55:C63" xr:uid="{00000000-0009-0000-0100-00000C000000}"/>
  <tableColumns count="3">
    <tableColumn id="1" xr3:uid="{00000000-0010-0000-0200-000001000000}" name="Main Category" dataDxfId="21"/>
    <tableColumn id="2" xr3:uid="{00000000-0010-0000-0200-000002000000}" name="Budget" dataDxfId="20"/>
    <tableColumn id="3" xr3:uid="{00000000-0010-0000-0200-000003000000}" name="Budget/Income" dataDxfId="19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A59276-5EC7-4A37-8C76-2E0A6809F9CC}" name="Tabelle3" displayName="Tabelle3" ref="A83:B95" totalsRowShown="0" headerRowDxfId="18">
  <autoFilter ref="A83:B95" xr:uid="{460F16C2-E545-4A79-BB10-C145645D506F}"/>
  <tableColumns count="2">
    <tableColumn id="1" xr3:uid="{C92E7361-2988-4B84-8B47-2F77D72B13E9}" name="Month (string)" dataDxfId="17"/>
    <tableColumn id="2" xr3:uid="{E223CA47-7BFB-4409-9BB2-A8886DB4BBEE}" name="Month (int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_Transactions" displayName="Table_Transactions" ref="A1:D73">
  <autoFilter ref="A1:D73" xr:uid="{00000000-0009-0000-0100-000006000000}"/>
  <tableColumns count="4">
    <tableColumn id="4" xr3:uid="{00000000-0010-0000-0300-000004000000}" name="Date" dataDxfId="16"/>
    <tableColumn id="1" xr3:uid="{00000000-0010-0000-0300-000001000000}" name="Transactions" totalsRowLabel="Ergebnis"/>
    <tableColumn id="2" xr3:uid="{00000000-0010-0000-0300-000002000000}" name="Amount" dataDxfId="15"/>
    <tableColumn id="3" xr3:uid="{00000000-0010-0000-0300-000003000000}" name="Remarks" totalsRowFunction="cou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99689-A848-4B4F-AB1F-443091CBD5BC}" name="Table_MonthlyReport" displayName="Table_MonthlyReport" ref="A1:F39" totalsRowShown="0" headerRowDxfId="14" headerRowBorderDxfId="13" tableBorderDxfId="12">
  <autoFilter ref="A1:F39" xr:uid="{777A7CB9-B583-482F-8100-3DCC235EB3CE}"/>
  <tableColumns count="6">
    <tableColumn id="1" xr3:uid="{19F65E7E-B926-4705-A926-E2B230B4FD75}" name="Income/Expense" dataDxfId="11"/>
    <tableColumn id="2" xr3:uid="{69982484-773E-47AD-8BC1-5D6F57C256E6}" name="Main Category" dataDxfId="10"/>
    <tableColumn id="3" xr3:uid="{DA70CAFC-C9BD-4BE5-AFE1-DCB2C9E521A9}" name="Sub-Category" dataDxfId="9"/>
    <tableColumn id="4" xr3:uid="{5041CA0D-0558-468B-B70E-CEC6FC6886D3}" name="Actual" dataDxfId="8"/>
    <tableColumn id="5" xr3:uid="{E567F311-E118-4B70-92F5-08F704D04CB6}" name="Monthly Budget" dataDxfId="7"/>
    <tableColumn id="6" xr3:uid="{81A83B08-F856-49C4-9B0B-E42DCF42A5B5}" name="Difference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86B241-7343-4910-86C8-664BE8CE729D}" name="Table_Summary" displayName="Table_Summary" ref="A41:F49" totalsRowShown="0" headerRowDxfId="5">
  <autoFilter ref="A41:F49" xr:uid="{0940EF9C-B068-4FEA-AFE8-81A9032E43DA}"/>
  <tableColumns count="6">
    <tableColumn id="1" xr3:uid="{817863CB-A609-44D9-B96A-514F0C68BD19}" name="Main Category"/>
    <tableColumn id="2" xr3:uid="{8EE7A73C-87C8-4FB4-BF95-778AD5B0F7B2}" name="Actual" dataDxfId="4"/>
    <tableColumn id="3" xr3:uid="{61A0B90E-66BF-413F-9677-C6346E7B958A}" name="Budget" dataDxfId="3"/>
    <tableColumn id="4" xr3:uid="{ADF22657-F362-462E-986A-23DA82A6F1C3}" name="Difference" dataDxfId="2"/>
    <tableColumn id="5" xr3:uid="{65B96605-4353-46D1-BB69-B937B66A2C9F}" name="MC/Expense" dataDxfId="1"/>
    <tableColumn id="6" xr3:uid="{76A6827B-EDA2-4F40-AEE7-D38A1667606F}" name="Budget/Inco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3"/>
  <dimension ref="A1:W8"/>
  <sheetViews>
    <sheetView zoomScale="80" zoomScaleNormal="80" workbookViewId="0">
      <selection activeCell="U72" sqref="U72"/>
    </sheetView>
  </sheetViews>
  <sheetFormatPr defaultColWidth="11.44140625" defaultRowHeight="14.4" x14ac:dyDescent="0.3"/>
  <sheetData>
    <row r="1" spans="1:23" x14ac:dyDescent="0.3">
      <c r="A1" s="108" t="s">
        <v>78</v>
      </c>
      <c r="B1" s="108"/>
      <c r="D1" s="108" t="s">
        <v>79</v>
      </c>
      <c r="E1" s="108"/>
      <c r="G1" s="108" t="s">
        <v>72</v>
      </c>
      <c r="H1" s="108"/>
      <c r="J1" s="108" t="s">
        <v>84</v>
      </c>
      <c r="K1" s="108"/>
      <c r="M1" s="108" t="s">
        <v>67</v>
      </c>
      <c r="N1" s="108"/>
      <c r="P1" s="108" t="s">
        <v>90</v>
      </c>
      <c r="Q1" s="108"/>
      <c r="S1" s="108" t="s">
        <v>98</v>
      </c>
      <c r="T1" s="108"/>
      <c r="V1" s="108" t="s">
        <v>102</v>
      </c>
      <c r="W1" s="108"/>
    </row>
    <row r="2" spans="1:23" x14ac:dyDescent="0.3">
      <c r="A2" s="109">
        <f>SUM(Annual!E2:E3)</f>
        <v>2100</v>
      </c>
      <c r="B2" s="109"/>
      <c r="D2" s="109">
        <f>SUM(Annual!E4:E39)</f>
        <v>1981.03</v>
      </c>
      <c r="E2" s="109"/>
      <c r="G2" s="109">
        <f>(J2-J7)/Annual!B52</f>
        <v>70.148181818182096</v>
      </c>
      <c r="H2" s="109"/>
      <c r="J2" s="109">
        <f>Annual!F49</f>
        <v>1427.6400000000031</v>
      </c>
      <c r="K2" s="109"/>
      <c r="M2" s="109">
        <v>1000</v>
      </c>
      <c r="N2" s="109"/>
      <c r="P2" s="109">
        <f>Annual!D36</f>
        <v>50</v>
      </c>
      <c r="Q2" s="109"/>
      <c r="S2" s="109">
        <f>Annual!D33</f>
        <v>100</v>
      </c>
      <c r="T2" s="109"/>
      <c r="V2" s="109">
        <f>M7+P7+S7</f>
        <v>1818.01</v>
      </c>
      <c r="W2" s="109"/>
    </row>
    <row r="3" spans="1:23" x14ac:dyDescent="0.3">
      <c r="A3" s="109"/>
      <c r="B3" s="109"/>
      <c r="D3" s="109"/>
      <c r="E3" s="109"/>
      <c r="G3" s="109"/>
      <c r="H3" s="109"/>
      <c r="J3" s="109"/>
      <c r="K3" s="109"/>
      <c r="M3" s="109"/>
      <c r="N3" s="109"/>
      <c r="P3" s="109"/>
      <c r="Q3" s="109"/>
      <c r="S3" s="109"/>
      <c r="T3" s="109"/>
      <c r="V3" s="109"/>
      <c r="W3" s="109"/>
    </row>
    <row r="4" spans="1:23" x14ac:dyDescent="0.3">
      <c r="G4" s="4"/>
      <c r="H4" s="4"/>
    </row>
    <row r="5" spans="1:23" x14ac:dyDescent="0.3">
      <c r="G5" s="4"/>
      <c r="H5" s="4"/>
    </row>
    <row r="6" spans="1:23" x14ac:dyDescent="0.3">
      <c r="A6" s="108" t="s">
        <v>76</v>
      </c>
      <c r="B6" s="108"/>
      <c r="D6" s="108" t="s">
        <v>77</v>
      </c>
      <c r="E6" s="108"/>
      <c r="G6" s="108" t="s">
        <v>66</v>
      </c>
      <c r="H6" s="108"/>
      <c r="J6" s="108" t="s">
        <v>65</v>
      </c>
      <c r="K6" s="108"/>
      <c r="M6" s="108" t="s">
        <v>68</v>
      </c>
      <c r="N6" s="108"/>
      <c r="P6" s="108" t="s">
        <v>91</v>
      </c>
      <c r="Q6" s="108"/>
      <c r="S6" s="108" t="s">
        <v>97</v>
      </c>
      <c r="T6" s="108"/>
    </row>
    <row r="7" spans="1:23" x14ac:dyDescent="0.3">
      <c r="A7" s="111">
        <f>SUM(Annual!D2:D3)/Annual!B51</f>
        <v>2000</v>
      </c>
      <c r="B7" s="111"/>
      <c r="D7" s="112">
        <f>SUM(Annual!D4:D39)/Annual!B51</f>
        <v>1343.99</v>
      </c>
      <c r="E7" s="112"/>
      <c r="G7" s="110">
        <f>A7-D7</f>
        <v>656.01</v>
      </c>
      <c r="H7" s="110"/>
      <c r="J7" s="110">
        <f>Annual!D49</f>
        <v>656.01</v>
      </c>
      <c r="K7" s="110"/>
      <c r="M7" s="110">
        <f>M2+J7</f>
        <v>1656.01</v>
      </c>
      <c r="N7" s="110"/>
      <c r="P7" s="110">
        <v>65</v>
      </c>
      <c r="Q7" s="110"/>
      <c r="R7" s="105">
        <f>P7-P2</f>
        <v>15</v>
      </c>
      <c r="S7" s="110">
        <v>97</v>
      </c>
      <c r="T7" s="110"/>
      <c r="U7" s="105">
        <f>S7-S2</f>
        <v>-3</v>
      </c>
    </row>
    <row r="8" spans="1:23" x14ac:dyDescent="0.3">
      <c r="A8" s="111"/>
      <c r="B8" s="111"/>
      <c r="D8" s="112"/>
      <c r="E8" s="112"/>
      <c r="G8" s="110"/>
      <c r="H8" s="110"/>
      <c r="J8" s="110"/>
      <c r="K8" s="110"/>
      <c r="M8" s="110"/>
      <c r="N8" s="110"/>
      <c r="P8" s="110"/>
      <c r="Q8" s="110"/>
      <c r="R8" s="106">
        <f>R7/P2</f>
        <v>0.3</v>
      </c>
      <c r="S8" s="110"/>
      <c r="T8" s="110"/>
      <c r="U8" s="106">
        <f>U7/S2</f>
        <v>-0.03</v>
      </c>
    </row>
  </sheetData>
  <mergeCells count="30">
    <mergeCell ref="G1:H1"/>
    <mergeCell ref="G7:H8"/>
    <mergeCell ref="G6:H6"/>
    <mergeCell ref="A1:B1"/>
    <mergeCell ref="A2:B3"/>
    <mergeCell ref="D1:E1"/>
    <mergeCell ref="D2:E3"/>
    <mergeCell ref="A6:B6"/>
    <mergeCell ref="A7:B8"/>
    <mergeCell ref="D6:E6"/>
    <mergeCell ref="D7:E8"/>
    <mergeCell ref="G2:H3"/>
    <mergeCell ref="M1:N1"/>
    <mergeCell ref="M2:N3"/>
    <mergeCell ref="M6:N6"/>
    <mergeCell ref="M7:N8"/>
    <mergeCell ref="J7:K8"/>
    <mergeCell ref="J1:K1"/>
    <mergeCell ref="J6:K6"/>
    <mergeCell ref="J2:K3"/>
    <mergeCell ref="P7:Q8"/>
    <mergeCell ref="S1:T1"/>
    <mergeCell ref="S2:T3"/>
    <mergeCell ref="S6:T6"/>
    <mergeCell ref="S7:T8"/>
    <mergeCell ref="V1:W1"/>
    <mergeCell ref="V2:W3"/>
    <mergeCell ref="P1:Q1"/>
    <mergeCell ref="P2:Q3"/>
    <mergeCell ref="P6:Q6"/>
  </mergeCells>
  <conditionalFormatting sqref="J7:K8">
    <cfRule type="cellIs" dxfId="59" priority="23" operator="lessThan">
      <formula>$J$2</formula>
    </cfRule>
    <cfRule type="cellIs" dxfId="58" priority="24" operator="greaterThanOrEqual">
      <formula>$J$2</formula>
    </cfRule>
  </conditionalFormatting>
  <conditionalFormatting sqref="G7:H8">
    <cfRule type="cellIs" dxfId="57" priority="15" operator="lessThan">
      <formula>$G$2</formula>
    </cfRule>
    <cfRule type="cellIs" dxfId="56" priority="16" operator="greaterThanOrEqual">
      <formula>$G$2</formula>
    </cfRule>
  </conditionalFormatting>
  <conditionalFormatting sqref="M7">
    <cfRule type="cellIs" dxfId="55" priority="31" operator="lessThan">
      <formula>$M$2+$J$2</formula>
    </cfRule>
    <cfRule type="cellIs" dxfId="54" priority="32" operator="greaterThanOrEqual">
      <formula>$M$2+$J$2</formula>
    </cfRule>
  </conditionalFormatting>
  <conditionalFormatting sqref="A7:B8">
    <cfRule type="cellIs" dxfId="53" priority="9" operator="lessThan">
      <formula>$A$2</formula>
    </cfRule>
    <cfRule type="cellIs" dxfId="52" priority="10" operator="greaterThanOrEqual">
      <formula>$A$2</formula>
    </cfRule>
  </conditionalFormatting>
  <conditionalFormatting sqref="D7:E8">
    <cfRule type="cellIs" dxfId="51" priority="7" operator="greaterThan">
      <formula>$D$2</formula>
    </cfRule>
    <cfRule type="cellIs" dxfId="50" priority="8" operator="lessThanOrEqual">
      <formula>$D$2</formula>
    </cfRule>
  </conditionalFormatting>
  <conditionalFormatting sqref="P7">
    <cfRule type="cellIs" dxfId="49" priority="5" operator="lessThan">
      <formula>$P$2</formula>
    </cfRule>
    <cfRule type="cellIs" dxfId="48" priority="6" operator="greaterThanOrEqual">
      <formula>$P$2</formula>
    </cfRule>
  </conditionalFormatting>
  <conditionalFormatting sqref="S7">
    <cfRule type="cellIs" dxfId="47" priority="3" operator="lessThan">
      <formula>$S$2</formula>
    </cfRule>
    <cfRule type="cellIs" dxfId="46" priority="4" operator="greaterThanOrEqual">
      <formula>$S$2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D2 A2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A1:AF95"/>
  <sheetViews>
    <sheetView tabSelected="1" zoomScale="80" zoomScaleNormal="80" workbookViewId="0">
      <pane xSplit="5" ySplit="1" topLeftCell="M16" activePane="bottomRight" state="frozen"/>
      <selection pane="topRight" activeCell="F1" sqref="F1"/>
      <selection pane="bottomLeft" activeCell="A2" sqref="A2"/>
      <selection pane="bottomRight" activeCell="J19" sqref="J19"/>
    </sheetView>
  </sheetViews>
  <sheetFormatPr defaultColWidth="11.44140625" defaultRowHeight="14.4" x14ac:dyDescent="0.3"/>
  <cols>
    <col min="1" max="1" width="18.33203125" bestFit="1" customWidth="1"/>
    <col min="2" max="2" width="16.33203125" bestFit="1" customWidth="1"/>
    <col min="3" max="3" width="20.33203125" bestFit="1" customWidth="1"/>
    <col min="4" max="4" width="11.5546875" style="36"/>
    <col min="5" max="5" width="17.6640625" style="36" bestFit="1" customWidth="1"/>
    <col min="6" max="6" width="16.44140625" style="36" bestFit="1" customWidth="1"/>
    <col min="7" max="7" width="12.6640625" style="36" customWidth="1"/>
    <col min="8" max="8" width="14.6640625" style="36" bestFit="1" customWidth="1"/>
    <col min="10" max="11" width="11.44140625" style="4"/>
    <col min="12" max="12" width="18.33203125" style="4" bestFit="1" customWidth="1"/>
    <col min="13" max="13" width="16.33203125" style="4" bestFit="1" customWidth="1"/>
    <col min="14" max="14" width="20.109375" style="4" bestFit="1" customWidth="1"/>
    <col min="23" max="23" width="13.33203125" bestFit="1" customWidth="1"/>
    <col min="25" max="25" width="12.88671875" bestFit="1" customWidth="1"/>
    <col min="26" max="26" width="12.6640625" bestFit="1" customWidth="1"/>
    <col min="32" max="32" width="11.5546875" customWidth="1"/>
  </cols>
  <sheetData>
    <row r="1" spans="1:32" x14ac:dyDescent="0.3">
      <c r="A1" s="25" t="s">
        <v>38</v>
      </c>
      <c r="B1" s="25" t="s">
        <v>40</v>
      </c>
      <c r="C1" s="25" t="s">
        <v>41</v>
      </c>
      <c r="D1" s="28" t="s">
        <v>2</v>
      </c>
      <c r="E1" s="28" t="s">
        <v>56</v>
      </c>
      <c r="F1" s="28" t="s">
        <v>52</v>
      </c>
      <c r="G1" s="28" t="s">
        <v>88</v>
      </c>
      <c r="H1" s="28" t="s">
        <v>87</v>
      </c>
      <c r="L1" s="1" t="s">
        <v>38</v>
      </c>
      <c r="M1" s="1" t="s">
        <v>40</v>
      </c>
      <c r="N1" s="1" t="s">
        <v>41</v>
      </c>
      <c r="O1" s="1" t="s">
        <v>82</v>
      </c>
      <c r="P1" s="1" t="s">
        <v>83</v>
      </c>
      <c r="Q1" s="1" t="s">
        <v>58</v>
      </c>
      <c r="R1" s="1" t="s">
        <v>36</v>
      </c>
      <c r="S1" s="1" t="s">
        <v>42</v>
      </c>
      <c r="T1" s="1" t="s">
        <v>49</v>
      </c>
      <c r="U1" s="1" t="s">
        <v>57</v>
      </c>
      <c r="V1" s="1" t="s">
        <v>59</v>
      </c>
      <c r="W1" s="1" t="s">
        <v>60</v>
      </c>
      <c r="X1" s="1" t="s">
        <v>61</v>
      </c>
      <c r="Y1" s="1" t="s">
        <v>62</v>
      </c>
      <c r="Z1" s="1" t="s">
        <v>63</v>
      </c>
      <c r="AF1" s="65">
        <v>1</v>
      </c>
    </row>
    <row r="2" spans="1:32" x14ac:dyDescent="0.3">
      <c r="A2" s="25" t="s">
        <v>17</v>
      </c>
      <c r="B2" s="12" t="s">
        <v>17</v>
      </c>
      <c r="C2" s="12" t="s">
        <v>10</v>
      </c>
      <c r="D2" s="29">
        <f>SUM(Table_ActualExpenseMonth[#This Row])</f>
        <v>2000</v>
      </c>
      <c r="E2" s="29">
        <v>2000</v>
      </c>
      <c r="F2" s="29">
        <f>Table_AnnualReport[[#This Row],[Monthly Budget]]*$B$53</f>
        <v>24000</v>
      </c>
      <c r="G2" s="8">
        <f>Table_AnnualReport[[#This Row],[Actual]]/Table_AnnualReport[[#This Row],[Annual Budget]]</f>
        <v>8.3333333333333329E-2</v>
      </c>
      <c r="H2" s="29">
        <f>Table_AnnualReport[[#This Row],[Actual]]/$B$51</f>
        <v>2000</v>
      </c>
      <c r="L2" s="36" t="str">
        <f>IF(ISBLANK(Table_AnnualReport[[#This Row],[Income/Expense]]),L1,Table_AnnualReport[[#This Row],[Income/Expense]])</f>
        <v>Income</v>
      </c>
      <c r="M2" s="29" t="str">
        <f>IF(ISBLANK(Table_AnnualReport[[#This Row],[Main Category]]),M1,Table_AnnualReport[[#This Row],[Main Category]])</f>
        <v>Income</v>
      </c>
      <c r="N2" s="29" t="str">
        <f>IF(ISBLANK(Table_AnnualReport[[#This Row],[Sub-Category]]),N1,Table_AnnualReport[[#This Row],[Sub-Category]])</f>
        <v>Salary</v>
      </c>
      <c r="O2" s="29">
        <f>January!D2</f>
        <v>2000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  <c r="AF2">
        <v>1</v>
      </c>
    </row>
    <row r="3" spans="1:32" x14ac:dyDescent="0.3">
      <c r="A3" s="26"/>
      <c r="B3" s="13"/>
      <c r="C3" s="12" t="s">
        <v>0</v>
      </c>
      <c r="D3" s="29">
        <f>SUM(Table_ActualExpenseMonth[#This Row])</f>
        <v>0</v>
      </c>
      <c r="E3" s="29">
        <v>100</v>
      </c>
      <c r="F3" s="29">
        <f>Table_AnnualReport[[#This Row],[Monthly Budget]]*$B$53</f>
        <v>1200</v>
      </c>
      <c r="G3" s="8">
        <f>Table_AnnualReport[[#This Row],[Actual]]/Table_AnnualReport[[#This Row],[Annual Budget]]</f>
        <v>0</v>
      </c>
      <c r="H3" s="29">
        <f>Table_AnnualReport[[#This Row],[Actual]]/$B$51</f>
        <v>0</v>
      </c>
      <c r="L3" s="36" t="str">
        <f>IF(ISBLANK(Table_AnnualReport[[#This Row],[Income/Expense]]),L2,Table_AnnualReport[[#This Row],[Income/Expense]])</f>
        <v>Income</v>
      </c>
      <c r="M3" s="29" t="str">
        <f>IF(ISBLANK(Table_AnnualReport[[#This Row],[Main Category]]),M2,Table_AnnualReport[[#This Row],[Main Category]])</f>
        <v>Income</v>
      </c>
      <c r="N3" s="29" t="str">
        <f>IF(ISBLANK(Table_AnnualReport[[#This Row],[Sub-Category]]),N2,Table_AnnualReport[[#This Row],[Sub-Category]])</f>
        <v>Extra Income</v>
      </c>
      <c r="O3" s="29">
        <f>January!D3</f>
        <v>0</v>
      </c>
      <c r="P3" s="29">
        <v>0</v>
      </c>
      <c r="Q3" s="29">
        <v>0</v>
      </c>
      <c r="R3" s="29">
        <v>0</v>
      </c>
      <c r="S3" s="29"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F3">
        <v>1</v>
      </c>
    </row>
    <row r="4" spans="1:32" x14ac:dyDescent="0.3">
      <c r="A4" s="25" t="s">
        <v>20</v>
      </c>
      <c r="B4" s="14" t="s">
        <v>35</v>
      </c>
      <c r="C4" s="15" t="s">
        <v>14</v>
      </c>
      <c r="D4" s="30">
        <f>SUM(Table_ActualExpenseMonth[#This Row])</f>
        <v>0</v>
      </c>
      <c r="E4" s="30">
        <v>100</v>
      </c>
      <c r="F4" s="30">
        <f>Table_AnnualReport[[#This Row],[Monthly Budget]]*$B$53</f>
        <v>1200</v>
      </c>
      <c r="G4" s="9">
        <f>Table_AnnualReport[[#This Row],[Actual]]/Table_AnnualReport[[#This Row],[Annual Budget]]</f>
        <v>0</v>
      </c>
      <c r="H4" s="30">
        <f>Table_AnnualReport[[#This Row],[Actual]]/$B$51</f>
        <v>0</v>
      </c>
      <c r="L4" s="36" t="str">
        <f>IF(ISBLANK(Table_AnnualReport[[#This Row],[Income/Expense]]),L3,Table_AnnualReport[[#This Row],[Income/Expense]])</f>
        <v>Expense</v>
      </c>
      <c r="M4" s="30" t="str">
        <f>IF(ISBLANK(Table_AnnualReport[[#This Row],[Main Category]]),M3,Table_AnnualReport[[#This Row],[Main Category]])</f>
        <v>Food</v>
      </c>
      <c r="N4" s="30" t="str">
        <f>IF(ISBLANK(Table_AnnualReport[[#This Row],[Sub-Category]]),N3,Table_AnnualReport[[#This Row],[Sub-Category]])</f>
        <v>Dining out</v>
      </c>
      <c r="O4" s="30">
        <f>January!D4</f>
        <v>0</v>
      </c>
      <c r="P4" s="30">
        <v>0</v>
      </c>
      <c r="Q4" s="30">
        <v>0</v>
      </c>
      <c r="R4" s="30">
        <v>0</v>
      </c>
      <c r="S4" s="30">
        <v>0</v>
      </c>
      <c r="T4" s="30">
        <v>0</v>
      </c>
      <c r="U4" s="30">
        <v>0</v>
      </c>
      <c r="V4" s="30">
        <v>0</v>
      </c>
      <c r="W4" s="30">
        <v>0</v>
      </c>
      <c r="X4" s="30">
        <v>0</v>
      </c>
      <c r="Y4" s="30">
        <v>0</v>
      </c>
      <c r="Z4" s="30">
        <v>0</v>
      </c>
      <c r="AF4">
        <v>1</v>
      </c>
    </row>
    <row r="5" spans="1:32" x14ac:dyDescent="0.3">
      <c r="A5" s="26"/>
      <c r="B5" s="15"/>
      <c r="C5" s="15" t="s">
        <v>6</v>
      </c>
      <c r="D5" s="30">
        <f>SUM(Table_ActualExpenseMonth[#This Row])</f>
        <v>70</v>
      </c>
      <c r="E5" s="30">
        <v>100</v>
      </c>
      <c r="F5" s="30">
        <f>Table_AnnualReport[[#This Row],[Monthly Budget]]*$B$53</f>
        <v>1200</v>
      </c>
      <c r="G5" s="9">
        <f>Table_AnnualReport[[#This Row],[Actual]]/Table_AnnualReport[[#This Row],[Annual Budget]]</f>
        <v>5.8333333333333334E-2</v>
      </c>
      <c r="H5" s="30">
        <f>Table_AnnualReport[[#This Row],[Actual]]/$B$51</f>
        <v>70</v>
      </c>
      <c r="L5" s="36" t="str">
        <f>IF(ISBLANK(Table_AnnualReport[[#This Row],[Income/Expense]]),L4,Table_AnnualReport[[#This Row],[Income/Expense]])</f>
        <v>Expense</v>
      </c>
      <c r="M5" s="30" t="str">
        <f>IF(ISBLANK(Table_AnnualReport[[#This Row],[Main Category]]),M4,Table_AnnualReport[[#This Row],[Main Category]])</f>
        <v>Food</v>
      </c>
      <c r="N5" s="30" t="str">
        <f>IF(ISBLANK(Table_AnnualReport[[#This Row],[Sub-Category]]),N4,Table_AnnualReport[[#This Row],[Sub-Category]])</f>
        <v>Groceries</v>
      </c>
      <c r="O5" s="30">
        <f>January!D5</f>
        <v>70</v>
      </c>
      <c r="P5" s="30">
        <v>0</v>
      </c>
      <c r="Q5" s="30">
        <v>0</v>
      </c>
      <c r="R5" s="30">
        <v>0</v>
      </c>
      <c r="S5" s="30">
        <v>0</v>
      </c>
      <c r="T5" s="30">
        <v>0</v>
      </c>
      <c r="U5" s="30">
        <v>0</v>
      </c>
      <c r="V5" s="30">
        <v>0</v>
      </c>
      <c r="W5" s="30">
        <v>0</v>
      </c>
      <c r="X5" s="30">
        <v>0</v>
      </c>
      <c r="Y5" s="30">
        <v>0</v>
      </c>
      <c r="Z5" s="30">
        <v>0</v>
      </c>
      <c r="AF5" s="4">
        <v>1</v>
      </c>
    </row>
    <row r="6" spans="1:32" x14ac:dyDescent="0.3">
      <c r="A6" s="26"/>
      <c r="B6" s="15"/>
      <c r="C6" s="15" t="s">
        <v>11</v>
      </c>
      <c r="D6" s="30">
        <f>SUM(Table_ActualExpenseMonth[#This Row])</f>
        <v>0</v>
      </c>
      <c r="E6" s="30">
        <v>20</v>
      </c>
      <c r="F6" s="30">
        <f>Table_AnnualReport[[#This Row],[Monthly Budget]]*$B$53</f>
        <v>240</v>
      </c>
      <c r="G6" s="9">
        <f>Table_AnnualReport[[#This Row],[Actual]]/Table_AnnualReport[[#This Row],[Annual Budget]]</f>
        <v>0</v>
      </c>
      <c r="H6" s="30">
        <f>Table_AnnualReport[[#This Row],[Actual]]/$B$51</f>
        <v>0</v>
      </c>
      <c r="L6" s="36" t="str">
        <f>IF(ISBLANK(Table_AnnualReport[[#This Row],[Income/Expense]]),L5,Table_AnnualReport[[#This Row],[Income/Expense]])</f>
        <v>Expense</v>
      </c>
      <c r="M6" s="30" t="str">
        <f>IF(ISBLANK(Table_AnnualReport[[#This Row],[Main Category]]),M5,Table_AnnualReport[[#This Row],[Main Category]])</f>
        <v>Food</v>
      </c>
      <c r="N6" s="30" t="str">
        <f>IF(ISBLANK(Table_AnnualReport[[#This Row],[Sub-Category]]),N5,Table_AnnualReport[[#This Row],[Sub-Category]])</f>
        <v>Drinks</v>
      </c>
      <c r="O6" s="30">
        <f>January!D6</f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F6" s="4">
        <v>1</v>
      </c>
    </row>
    <row r="7" spans="1:32" x14ac:dyDescent="0.3">
      <c r="A7" s="26"/>
      <c r="B7" s="15"/>
      <c r="C7" s="15" t="s">
        <v>43</v>
      </c>
      <c r="D7" s="30">
        <f>SUM(Table_ActualExpenseMonth[#This Row])</f>
        <v>0</v>
      </c>
      <c r="E7" s="30">
        <v>100</v>
      </c>
      <c r="F7" s="30">
        <f>Table_AnnualReport[[#This Row],[Monthly Budget]]*$B$53</f>
        <v>1200</v>
      </c>
      <c r="G7" s="9">
        <f>Table_AnnualReport[[#This Row],[Actual]]/Table_AnnualReport[[#This Row],[Annual Budget]]</f>
        <v>0</v>
      </c>
      <c r="H7" s="30">
        <f>Table_AnnualReport[[#This Row],[Actual]]/$B$51</f>
        <v>0</v>
      </c>
      <c r="L7" s="36" t="str">
        <f>IF(ISBLANK(Table_AnnualReport[[#This Row],[Income/Expense]]),L6,Table_AnnualReport[[#This Row],[Income/Expense]])</f>
        <v>Expense</v>
      </c>
      <c r="M7" s="30" t="str">
        <f>IF(ISBLANK(Table_AnnualReport[[#This Row],[Main Category]]),M6,Table_AnnualReport[[#This Row],[Main Category]])</f>
        <v>Food</v>
      </c>
      <c r="N7" s="30" t="str">
        <f>IF(ISBLANK(Table_AnnualReport[[#This Row],[Sub-Category]]),N6,Table_AnnualReport[[#This Row],[Sub-Category]])</f>
        <v>Cash Withdrawal</v>
      </c>
      <c r="O7" s="30">
        <f>January!D7</f>
        <v>0</v>
      </c>
      <c r="P7" s="30">
        <v>0</v>
      </c>
      <c r="Q7" s="30">
        <v>0</v>
      </c>
      <c r="R7" s="30">
        <v>0</v>
      </c>
      <c r="S7" s="30">
        <v>0</v>
      </c>
      <c r="T7" s="30">
        <v>0</v>
      </c>
      <c r="U7" s="30">
        <v>0</v>
      </c>
      <c r="V7" s="30">
        <v>0</v>
      </c>
      <c r="W7" s="30">
        <v>0</v>
      </c>
      <c r="X7" s="30">
        <v>0</v>
      </c>
      <c r="Y7" s="30">
        <v>0</v>
      </c>
      <c r="Z7" s="30">
        <v>0</v>
      </c>
      <c r="AF7" s="4">
        <v>1</v>
      </c>
    </row>
    <row r="8" spans="1:32" x14ac:dyDescent="0.3">
      <c r="A8" s="26"/>
      <c r="B8" s="15"/>
      <c r="C8" s="15" t="s">
        <v>31</v>
      </c>
      <c r="D8" s="30">
        <f>SUM(Table_ActualExpenseMonth[#This Row])</f>
        <v>0</v>
      </c>
      <c r="E8" s="30">
        <v>0.01</v>
      </c>
      <c r="F8" s="30">
        <f>Table_AnnualReport[[#This Row],[Monthly Budget]]*$B$53</f>
        <v>0.12</v>
      </c>
      <c r="G8" s="9">
        <f>Table_AnnualReport[[#This Row],[Actual]]/Table_AnnualReport[[#This Row],[Annual Budget]]</f>
        <v>0</v>
      </c>
      <c r="H8" s="30">
        <f>Table_AnnualReport[[#This Row],[Actual]]/$B$51</f>
        <v>0</v>
      </c>
      <c r="L8" s="36" t="str">
        <f>IF(ISBLANK(Table_AnnualReport[[#This Row],[Income/Expense]]),L7,Table_AnnualReport[[#This Row],[Income/Expense]])</f>
        <v>Expense</v>
      </c>
      <c r="M8" s="30" t="str">
        <f>IF(ISBLANK(Table_AnnualReport[[#This Row],[Main Category]]),M7,Table_AnnualReport[[#This Row],[Main Category]])</f>
        <v>Food</v>
      </c>
      <c r="N8" s="30" t="str">
        <f>IF(ISBLANK(Table_AnnualReport[[#This Row],[Sub-Category]]),N7,Table_AnnualReport[[#This Row],[Sub-Category]])</f>
        <v>Food Others</v>
      </c>
      <c r="O8" s="30">
        <f>January!D8</f>
        <v>0</v>
      </c>
      <c r="P8" s="30">
        <v>0</v>
      </c>
      <c r="Q8" s="30">
        <v>0</v>
      </c>
      <c r="R8" s="30">
        <v>0</v>
      </c>
      <c r="S8" s="30">
        <v>0</v>
      </c>
      <c r="T8" s="30">
        <v>0</v>
      </c>
      <c r="U8" s="30">
        <v>0</v>
      </c>
      <c r="V8" s="30">
        <v>0</v>
      </c>
      <c r="W8" s="30">
        <v>0</v>
      </c>
      <c r="X8" s="30">
        <v>0</v>
      </c>
      <c r="Y8" s="30">
        <v>0</v>
      </c>
      <c r="Z8" s="30">
        <v>0</v>
      </c>
      <c r="AF8" s="4">
        <v>1</v>
      </c>
    </row>
    <row r="9" spans="1:32" x14ac:dyDescent="0.3">
      <c r="A9" s="26"/>
      <c r="B9" s="16" t="s">
        <v>16</v>
      </c>
      <c r="C9" s="17" t="s">
        <v>3</v>
      </c>
      <c r="D9" s="31">
        <f>SUM(Table_ActualExpenseMonth[#This Row])</f>
        <v>300</v>
      </c>
      <c r="E9" s="31">
        <v>300</v>
      </c>
      <c r="F9" s="31">
        <f>Table_AnnualReport[[#This Row],[Monthly Budget]]*$B$53</f>
        <v>3600</v>
      </c>
      <c r="G9" s="94">
        <f>Table_AnnualReport[[#This Row],[Actual]]/Table_AnnualReport[[#This Row],[Annual Budget]]</f>
        <v>8.3333333333333329E-2</v>
      </c>
      <c r="H9" s="31">
        <f>Table_AnnualReport[[#This Row],[Actual]]/$B$51</f>
        <v>300</v>
      </c>
      <c r="L9" s="36" t="str">
        <f>IF(ISBLANK(Table_AnnualReport[[#This Row],[Income/Expense]]),L8,Table_AnnualReport[[#This Row],[Income/Expense]])</f>
        <v>Expense</v>
      </c>
      <c r="M9" s="31" t="str">
        <f>IF(ISBLANK(Table_AnnualReport[[#This Row],[Main Category]]),M8,Table_AnnualReport[[#This Row],[Main Category]])</f>
        <v>Living</v>
      </c>
      <c r="N9" s="31" t="str">
        <f>IF(ISBLANK(Table_AnnualReport[[#This Row],[Sub-Category]]),N8,Table_AnnualReport[[#This Row],[Sub-Category]])</f>
        <v>Rental</v>
      </c>
      <c r="O9" s="31">
        <f>January!D9</f>
        <v>300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F9" s="4">
        <v>1</v>
      </c>
    </row>
    <row r="10" spans="1:32" x14ac:dyDescent="0.3">
      <c r="A10" s="27"/>
      <c r="B10" s="17"/>
      <c r="C10" s="17" t="s">
        <v>5</v>
      </c>
      <c r="D10" s="31">
        <f>SUM(Table_ActualExpenseMonth[#This Row])</f>
        <v>0</v>
      </c>
      <c r="E10" s="31">
        <v>30</v>
      </c>
      <c r="F10" s="31">
        <f>Table_AnnualReport[[#This Row],[Monthly Budget]]*$B$53</f>
        <v>360</v>
      </c>
      <c r="G10" s="94">
        <f>Table_AnnualReport[[#This Row],[Actual]]/Table_AnnualReport[[#This Row],[Annual Budget]]</f>
        <v>0</v>
      </c>
      <c r="H10" s="31">
        <f>Table_AnnualReport[[#This Row],[Actual]]/$B$51</f>
        <v>0</v>
      </c>
      <c r="L10" s="36" t="str">
        <f>IF(ISBLANK(Table_AnnualReport[[#This Row],[Income/Expense]]),L9,Table_AnnualReport[[#This Row],[Income/Expense]])</f>
        <v>Expense</v>
      </c>
      <c r="M10" s="31" t="str">
        <f>IF(ISBLANK(Table_AnnualReport[[#This Row],[Main Category]]),M9,Table_AnnualReport[[#This Row],[Main Category]])</f>
        <v>Living</v>
      </c>
      <c r="N10" s="31" t="str">
        <f>IF(ISBLANK(Table_AnnualReport[[#This Row],[Sub-Category]]),N9,Table_AnnualReport[[#This Row],[Sub-Category]])</f>
        <v>Electricity</v>
      </c>
      <c r="O10" s="31">
        <f>January!D10</f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F10" s="4">
        <v>1</v>
      </c>
    </row>
    <row r="11" spans="1:32" x14ac:dyDescent="0.3">
      <c r="A11" s="26"/>
      <c r="B11" s="17"/>
      <c r="C11" s="17" t="s">
        <v>4</v>
      </c>
      <c r="D11" s="31">
        <f>SUM(Table_ActualExpenseMonth[#This Row])</f>
        <v>0</v>
      </c>
      <c r="E11" s="31">
        <v>6</v>
      </c>
      <c r="F11" s="31">
        <f>Table_AnnualReport[[#This Row],[Monthly Budget]]*$B$53</f>
        <v>72</v>
      </c>
      <c r="G11" s="94">
        <f>Table_AnnualReport[[#This Row],[Actual]]/Table_AnnualReport[[#This Row],[Annual Budget]]</f>
        <v>0</v>
      </c>
      <c r="H11" s="31">
        <f>Table_AnnualReport[[#This Row],[Actual]]/$B$51</f>
        <v>0</v>
      </c>
      <c r="L11" s="36" t="str">
        <f>IF(ISBLANK(Table_AnnualReport[[#This Row],[Income/Expense]]),L10,Table_AnnualReport[[#This Row],[Income/Expense]])</f>
        <v>Expense</v>
      </c>
      <c r="M11" s="31" t="str">
        <f>IF(ISBLANK(Table_AnnualReport[[#This Row],[Main Category]]),M10,Table_AnnualReport[[#This Row],[Main Category]])</f>
        <v>Living</v>
      </c>
      <c r="N11" s="31" t="str">
        <f>IF(ISBLANK(Table_AnnualReport[[#This Row],[Sub-Category]]),N10,Table_AnnualReport[[#This Row],[Sub-Category]])</f>
        <v>Internet</v>
      </c>
      <c r="O11" s="31">
        <f>January!D11</f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F11" s="4">
        <v>1</v>
      </c>
    </row>
    <row r="12" spans="1:32" x14ac:dyDescent="0.3">
      <c r="A12" s="26"/>
      <c r="B12" s="17"/>
      <c r="C12" s="17" t="s">
        <v>29</v>
      </c>
      <c r="D12" s="31">
        <f>SUM(Table_ActualExpenseMonth[#This Row])</f>
        <v>0</v>
      </c>
      <c r="E12" s="31">
        <v>10</v>
      </c>
      <c r="F12" s="31">
        <f>Table_AnnualReport[[#This Row],[Monthly Budget]]*$B$53</f>
        <v>120</v>
      </c>
      <c r="G12" s="94">
        <f>Table_AnnualReport[[#This Row],[Actual]]/Table_AnnualReport[[#This Row],[Annual Budget]]</f>
        <v>0</v>
      </c>
      <c r="H12" s="31">
        <f>Table_AnnualReport[[#This Row],[Actual]]/$B$51</f>
        <v>0</v>
      </c>
      <c r="L12" s="36" t="str">
        <f>IF(ISBLANK(Table_AnnualReport[[#This Row],[Income/Expense]]),L11,Table_AnnualReport[[#This Row],[Income/Expense]])</f>
        <v>Expense</v>
      </c>
      <c r="M12" s="31" t="str">
        <f>IF(ISBLANK(Table_AnnualReport[[#This Row],[Main Category]]),M11,Table_AnnualReport[[#This Row],[Main Category]])</f>
        <v>Living</v>
      </c>
      <c r="N12" s="31" t="str">
        <f>IF(ISBLANK(Table_AnnualReport[[#This Row],[Sub-Category]]),N11,Table_AnnualReport[[#This Row],[Sub-Category]])</f>
        <v>Home Maintainence</v>
      </c>
      <c r="O12" s="31">
        <f>January!D12</f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F12" s="4">
        <v>1</v>
      </c>
    </row>
    <row r="13" spans="1:32" x14ac:dyDescent="0.3">
      <c r="A13" s="26"/>
      <c r="B13" s="16"/>
      <c r="C13" s="18" t="s">
        <v>30</v>
      </c>
      <c r="D13" s="31">
        <f>SUM(Table_ActualExpenseMonth[#This Row])</f>
        <v>0</v>
      </c>
      <c r="E13" s="31">
        <v>10</v>
      </c>
      <c r="F13" s="31">
        <f>Table_AnnualReport[[#This Row],[Monthly Budget]]*$B$53</f>
        <v>120</v>
      </c>
      <c r="G13" s="94">
        <f>Table_AnnualReport[[#This Row],[Actual]]/Table_AnnualReport[[#This Row],[Annual Budget]]</f>
        <v>0</v>
      </c>
      <c r="H13" s="31">
        <f>Table_AnnualReport[[#This Row],[Actual]]/$B$51</f>
        <v>0</v>
      </c>
      <c r="L13" s="36" t="str">
        <f>IF(ISBLANK(Table_AnnualReport[[#This Row],[Income/Expense]]),L12,Table_AnnualReport[[#This Row],[Income/Expense]])</f>
        <v>Expense</v>
      </c>
      <c r="M13" s="31" t="str">
        <f>IF(ISBLANK(Table_AnnualReport[[#This Row],[Main Category]]),M12,Table_AnnualReport[[#This Row],[Main Category]])</f>
        <v>Living</v>
      </c>
      <c r="N13" s="31" t="str">
        <f>IF(ISBLANK(Table_AnnualReport[[#This Row],[Sub-Category]]),N12,Table_AnnualReport[[#This Row],[Sub-Category]])</f>
        <v>Living Others</v>
      </c>
      <c r="O13" s="31">
        <f>January!D13</f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F13" s="4">
        <v>1</v>
      </c>
    </row>
    <row r="14" spans="1:32" x14ac:dyDescent="0.3">
      <c r="A14" s="26"/>
      <c r="B14" s="19" t="s">
        <v>34</v>
      </c>
      <c r="C14" s="20" t="s">
        <v>12</v>
      </c>
      <c r="D14" s="32">
        <f>SUM(Table_ActualExpenseMonth[#This Row])</f>
        <v>0</v>
      </c>
      <c r="E14" s="32">
        <v>20</v>
      </c>
      <c r="F14" s="32">
        <f>Table_AnnualReport[[#This Row],[Monthly Budget]]*$B$53</f>
        <v>240</v>
      </c>
      <c r="G14" s="10">
        <f>Table_AnnualReport[[#This Row],[Actual]]/Table_AnnualReport[[#This Row],[Annual Budget]]</f>
        <v>0</v>
      </c>
      <c r="H14" s="32">
        <f>Table_AnnualReport[[#This Row],[Actual]]/$B$51</f>
        <v>0</v>
      </c>
      <c r="L14" s="36" t="str">
        <f>IF(ISBLANK(Table_AnnualReport[[#This Row],[Income/Expense]]),L13,Table_AnnualReport[[#This Row],[Income/Expense]])</f>
        <v>Expense</v>
      </c>
      <c r="M14" s="32" t="str">
        <f>IF(ISBLANK(Table_AnnualReport[[#This Row],[Main Category]]),M13,Table_AnnualReport[[#This Row],[Main Category]])</f>
        <v>Personal</v>
      </c>
      <c r="N14" s="32" t="str">
        <f>IF(ISBLANK(Table_AnnualReport[[#This Row],[Sub-Category]]),N13,Table_AnnualReport[[#This Row],[Sub-Category]])</f>
        <v>Entertainment</v>
      </c>
      <c r="O14" s="32">
        <f>January!D14</f>
        <v>0</v>
      </c>
      <c r="P14" s="32">
        <v>0</v>
      </c>
      <c r="Q14" s="32">
        <v>0</v>
      </c>
      <c r="R14" s="32">
        <v>0</v>
      </c>
      <c r="S14" s="32">
        <v>0</v>
      </c>
      <c r="T14" s="32">
        <v>0</v>
      </c>
      <c r="U14" s="32">
        <v>0</v>
      </c>
      <c r="V14" s="32">
        <v>0</v>
      </c>
      <c r="W14" s="32">
        <v>0</v>
      </c>
      <c r="X14" s="32">
        <v>0</v>
      </c>
      <c r="Y14" s="32">
        <v>0</v>
      </c>
      <c r="Z14" s="32">
        <v>0</v>
      </c>
      <c r="AF14" s="4">
        <v>1</v>
      </c>
    </row>
    <row r="15" spans="1:32" x14ac:dyDescent="0.3">
      <c r="A15" s="26"/>
      <c r="B15" s="20"/>
      <c r="C15" s="20" t="s">
        <v>15</v>
      </c>
      <c r="D15" s="32">
        <f>SUM(Table_ActualExpenseMonth[#This Row])</f>
        <v>0</v>
      </c>
      <c r="E15" s="41">
        <v>20</v>
      </c>
      <c r="F15" s="32">
        <f>Table_AnnualReport[[#This Row],[Monthly Budget]]*$B$53</f>
        <v>240</v>
      </c>
      <c r="G15" s="10">
        <f>Table_AnnualReport[[#This Row],[Actual]]/Table_AnnualReport[[#This Row],[Annual Budget]]</f>
        <v>0</v>
      </c>
      <c r="H15" s="32">
        <f>Table_AnnualReport[[#This Row],[Actual]]/$B$51</f>
        <v>0</v>
      </c>
      <c r="L15" s="36" t="str">
        <f>IF(ISBLANK(Table_AnnualReport[[#This Row],[Income/Expense]]),L14,Table_AnnualReport[[#This Row],[Income/Expense]])</f>
        <v>Expense</v>
      </c>
      <c r="M15" s="32" t="str">
        <f>IF(ISBLANK(Table_AnnualReport[[#This Row],[Main Category]]),M14,Table_AnnualReport[[#This Row],[Main Category]])</f>
        <v>Personal</v>
      </c>
      <c r="N15" s="32" t="str">
        <f>IF(ISBLANK(Table_AnnualReport[[#This Row],[Sub-Category]]),N14,Table_AnnualReport[[#This Row],[Sub-Category]])</f>
        <v>Beauty</v>
      </c>
      <c r="O15" s="32">
        <f>January!D15</f>
        <v>0</v>
      </c>
      <c r="P15" s="32">
        <v>0</v>
      </c>
      <c r="Q15" s="32">
        <v>0</v>
      </c>
      <c r="R15" s="32">
        <v>0</v>
      </c>
      <c r="S15" s="32">
        <v>0</v>
      </c>
      <c r="T15" s="32">
        <v>0</v>
      </c>
      <c r="U15" s="32">
        <v>0</v>
      </c>
      <c r="V15" s="32">
        <v>0</v>
      </c>
      <c r="W15" s="32">
        <v>0</v>
      </c>
      <c r="X15" s="32">
        <v>0</v>
      </c>
      <c r="Y15" s="32">
        <v>0</v>
      </c>
      <c r="Z15" s="32">
        <v>0</v>
      </c>
      <c r="AF15" s="4">
        <v>1</v>
      </c>
    </row>
    <row r="16" spans="1:32" x14ac:dyDescent="0.3">
      <c r="A16" s="26"/>
      <c r="B16" s="20"/>
      <c r="C16" s="19" t="s">
        <v>51</v>
      </c>
      <c r="D16" s="32">
        <f>SUM(Table_ActualExpenseMonth[#This Row])</f>
        <v>0</v>
      </c>
      <c r="E16" s="32">
        <v>10</v>
      </c>
      <c r="F16" s="32">
        <f>Table_AnnualReport[[#This Row],[Monthly Budget]]*$B$53</f>
        <v>120</v>
      </c>
      <c r="G16" s="10">
        <f>Table_AnnualReport[[#This Row],[Actual]]/Table_AnnualReport[[#This Row],[Annual Budget]]</f>
        <v>0</v>
      </c>
      <c r="H16" s="32">
        <f>Table_AnnualReport[[#This Row],[Actual]]/$B$51</f>
        <v>0</v>
      </c>
      <c r="L16" s="36" t="str">
        <f>IF(ISBLANK(Table_AnnualReport[[#This Row],[Income/Expense]]),L15,Table_AnnualReport[[#This Row],[Income/Expense]])</f>
        <v>Expense</v>
      </c>
      <c r="M16" s="32" t="str">
        <f>IF(ISBLANK(Table_AnnualReport[[#This Row],[Main Category]]),M15,Table_AnnualReport[[#This Row],[Main Category]])</f>
        <v>Personal</v>
      </c>
      <c r="N16" s="32" t="str">
        <f>IF(ISBLANK(Table_AnnualReport[[#This Row],[Sub-Category]]),N15,Table_AnnualReport[[#This Row],[Sub-Category]])</f>
        <v>Haircut</v>
      </c>
      <c r="O16" s="32">
        <f>January!D16</f>
        <v>0</v>
      </c>
      <c r="P16" s="32">
        <v>0</v>
      </c>
      <c r="Q16" s="32">
        <v>0</v>
      </c>
      <c r="R16" s="32">
        <v>0</v>
      </c>
      <c r="S16" s="32">
        <v>0</v>
      </c>
      <c r="T16" s="32">
        <v>0</v>
      </c>
      <c r="U16" s="32">
        <v>0</v>
      </c>
      <c r="V16" s="32">
        <v>0</v>
      </c>
      <c r="W16" s="32">
        <v>0</v>
      </c>
      <c r="X16" s="32">
        <v>0</v>
      </c>
      <c r="Y16" s="32">
        <v>0</v>
      </c>
      <c r="Z16" s="32">
        <v>0</v>
      </c>
      <c r="AF16" s="4">
        <v>1</v>
      </c>
    </row>
    <row r="17" spans="1:32" x14ac:dyDescent="0.3">
      <c r="A17" s="26"/>
      <c r="B17" s="20"/>
      <c r="C17" s="20" t="s">
        <v>9</v>
      </c>
      <c r="D17" s="32">
        <f>SUM(Table_ActualExpenseMonth[#This Row])</f>
        <v>49.99</v>
      </c>
      <c r="E17" s="32">
        <v>30</v>
      </c>
      <c r="F17" s="32">
        <f>Table_AnnualReport[[#This Row],[Monthly Budget]]*$B$53</f>
        <v>360</v>
      </c>
      <c r="G17" s="10">
        <f>Table_AnnualReport[[#This Row],[Actual]]/Table_AnnualReport[[#This Row],[Annual Budget]]</f>
        <v>0.13886111111111113</v>
      </c>
      <c r="H17" s="32">
        <f>Table_AnnualReport[[#This Row],[Actual]]/$B$51</f>
        <v>49.99</v>
      </c>
      <c r="L17" s="36" t="str">
        <f>IF(ISBLANK(Table_AnnualReport[[#This Row],[Income/Expense]]),L16,Table_AnnualReport[[#This Row],[Income/Expense]])</f>
        <v>Expense</v>
      </c>
      <c r="M17" s="32" t="str">
        <f>IF(ISBLANK(Table_AnnualReport[[#This Row],[Main Category]]),M16,Table_AnnualReport[[#This Row],[Main Category]])</f>
        <v>Personal</v>
      </c>
      <c r="N17" s="32" t="str">
        <f>IF(ISBLANK(Table_AnnualReport[[#This Row],[Sub-Category]]),N16,Table_AnnualReport[[#This Row],[Sub-Category]])</f>
        <v>Clothing</v>
      </c>
      <c r="O17" s="32">
        <f>January!D17</f>
        <v>49.99</v>
      </c>
      <c r="P17" s="32">
        <v>0</v>
      </c>
      <c r="Q17" s="32">
        <v>0</v>
      </c>
      <c r="R17" s="32">
        <v>0</v>
      </c>
      <c r="S17" s="32">
        <v>0</v>
      </c>
      <c r="T17" s="32">
        <v>0</v>
      </c>
      <c r="U17" s="32">
        <v>0</v>
      </c>
      <c r="V17" s="32">
        <v>0</v>
      </c>
      <c r="W17" s="32">
        <v>0</v>
      </c>
      <c r="X17" s="32">
        <v>0</v>
      </c>
      <c r="Y17" s="32">
        <v>0</v>
      </c>
      <c r="Z17" s="32">
        <v>0</v>
      </c>
      <c r="AF17" s="4">
        <v>1</v>
      </c>
    </row>
    <row r="18" spans="1:32" x14ac:dyDescent="0.3">
      <c r="A18" s="26"/>
      <c r="B18" s="20"/>
      <c r="C18" s="20" t="s">
        <v>24</v>
      </c>
      <c r="D18" s="32">
        <f>SUM(Table_ActualExpenseMonth[#This Row])</f>
        <v>0</v>
      </c>
      <c r="E18" s="32">
        <v>30</v>
      </c>
      <c r="F18" s="32">
        <f>Table_AnnualReport[[#This Row],[Monthly Budget]]*$B$53</f>
        <v>360</v>
      </c>
      <c r="G18" s="10">
        <f>Table_AnnualReport[[#This Row],[Actual]]/Table_AnnualReport[[#This Row],[Annual Budget]]</f>
        <v>0</v>
      </c>
      <c r="H18" s="32">
        <f>Table_AnnualReport[[#This Row],[Actual]]/$B$51</f>
        <v>0</v>
      </c>
      <c r="L18" s="36" t="str">
        <f>IF(ISBLANK(Table_AnnualReport[[#This Row],[Income/Expense]]),L17,Table_AnnualReport[[#This Row],[Income/Expense]])</f>
        <v>Expense</v>
      </c>
      <c r="M18" s="32" t="str">
        <f>IF(ISBLANK(Table_AnnualReport[[#This Row],[Main Category]]),M17,Table_AnnualReport[[#This Row],[Main Category]])</f>
        <v>Personal</v>
      </c>
      <c r="N18" s="32" t="str">
        <f>IF(ISBLANK(Table_AnnualReport[[#This Row],[Sub-Category]]),N17,Table_AnnualReport[[#This Row],[Sub-Category]])</f>
        <v>Gifts</v>
      </c>
      <c r="O18" s="32">
        <f>January!D18</f>
        <v>0</v>
      </c>
      <c r="P18" s="32">
        <v>0</v>
      </c>
      <c r="Q18" s="32">
        <v>0</v>
      </c>
      <c r="R18" s="32">
        <v>0</v>
      </c>
      <c r="S18" s="32">
        <v>0</v>
      </c>
      <c r="T18" s="32">
        <v>0</v>
      </c>
      <c r="U18" s="32">
        <v>0</v>
      </c>
      <c r="V18" s="32">
        <v>0</v>
      </c>
      <c r="W18" s="32">
        <v>0</v>
      </c>
      <c r="X18" s="32">
        <v>0</v>
      </c>
      <c r="Y18" s="32">
        <v>0</v>
      </c>
      <c r="Z18" s="32">
        <v>0</v>
      </c>
      <c r="AF18" s="4">
        <v>1</v>
      </c>
    </row>
    <row r="19" spans="1:32" x14ac:dyDescent="0.3">
      <c r="A19" s="26"/>
      <c r="B19" s="20"/>
      <c r="C19" s="20" t="s">
        <v>27</v>
      </c>
      <c r="D19" s="32">
        <f>SUM(Table_ActualExpenseMonth[#This Row])</f>
        <v>0</v>
      </c>
      <c r="E19" s="32">
        <v>100</v>
      </c>
      <c r="F19" s="32">
        <f>Table_AnnualReport[[#This Row],[Monthly Budget]]*$B$53</f>
        <v>1200</v>
      </c>
      <c r="G19" s="10">
        <f>Table_AnnualReport[[#This Row],[Actual]]/Table_AnnualReport[[#This Row],[Annual Budget]]</f>
        <v>0</v>
      </c>
      <c r="H19" s="32">
        <f>Table_AnnualReport[[#This Row],[Actual]]/$B$51</f>
        <v>0</v>
      </c>
      <c r="L19" s="36" t="str">
        <f>IF(ISBLANK(Table_AnnualReport[[#This Row],[Income/Expense]]),L18,Table_AnnualReport[[#This Row],[Income/Expense]])</f>
        <v>Expense</v>
      </c>
      <c r="M19" s="32" t="str">
        <f>IF(ISBLANK(Table_AnnualReport[[#This Row],[Main Category]]),M18,Table_AnnualReport[[#This Row],[Main Category]])</f>
        <v>Personal</v>
      </c>
      <c r="N19" s="32" t="str">
        <f>IF(ISBLANK(Table_AnnualReport[[#This Row],[Sub-Category]]),N18,Table_AnnualReport[[#This Row],[Sub-Category]])</f>
        <v>Parents</v>
      </c>
      <c r="O19" s="32">
        <f>January!D19</f>
        <v>0</v>
      </c>
      <c r="P19" s="32">
        <v>0</v>
      </c>
      <c r="Q19" s="32">
        <v>0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0</v>
      </c>
      <c r="AF19" s="4">
        <v>1</v>
      </c>
    </row>
    <row r="20" spans="1:32" x14ac:dyDescent="0.3">
      <c r="A20" s="26"/>
      <c r="B20" s="20"/>
      <c r="C20" s="20" t="s">
        <v>8</v>
      </c>
      <c r="D20" s="32">
        <f>SUM(Table_ActualExpenseMonth[#This Row])</f>
        <v>0</v>
      </c>
      <c r="E20" s="32">
        <v>10</v>
      </c>
      <c r="F20" s="32">
        <f>Table_AnnualReport[[#This Row],[Monthly Budget]]*$B$53</f>
        <v>120</v>
      </c>
      <c r="G20" s="10">
        <f>Table_AnnualReport[[#This Row],[Actual]]/Table_AnnualReport[[#This Row],[Annual Budget]]</f>
        <v>0</v>
      </c>
      <c r="H20" s="32">
        <f>Table_AnnualReport[[#This Row],[Actual]]/$B$51</f>
        <v>0</v>
      </c>
      <c r="L20" s="36" t="str">
        <f>IF(ISBLANK(Table_AnnualReport[[#This Row],[Income/Expense]]),L19,Table_AnnualReport[[#This Row],[Income/Expense]])</f>
        <v>Expense</v>
      </c>
      <c r="M20" s="32" t="str">
        <f>IF(ISBLANK(Table_AnnualReport[[#This Row],[Main Category]]),M19,Table_AnnualReport[[#This Row],[Main Category]])</f>
        <v>Personal</v>
      </c>
      <c r="N20" s="32" t="str">
        <f>IF(ISBLANK(Table_AnnualReport[[#This Row],[Sub-Category]]),N19,Table_AnnualReport[[#This Row],[Sub-Category]])</f>
        <v>Phone</v>
      </c>
      <c r="O20" s="32">
        <f>January!D20</f>
        <v>0</v>
      </c>
      <c r="P20" s="32">
        <v>0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0</v>
      </c>
      <c r="X20" s="32">
        <v>0</v>
      </c>
      <c r="Y20" s="32">
        <v>0</v>
      </c>
      <c r="Z20" s="32">
        <v>0</v>
      </c>
      <c r="AF20" s="4">
        <v>1</v>
      </c>
    </row>
    <row r="21" spans="1:32" s="4" customFormat="1" x14ac:dyDescent="0.3">
      <c r="A21" s="26"/>
      <c r="B21" s="20"/>
      <c r="C21" s="20" t="s">
        <v>55</v>
      </c>
      <c r="D21" s="32">
        <f>SUM(Table_ActualExpenseMonth[#This Row])</f>
        <v>0</v>
      </c>
      <c r="E21" s="32">
        <v>5</v>
      </c>
      <c r="F21" s="32">
        <f>Table_AnnualReport[[#This Row],[Monthly Budget]]*$B$53</f>
        <v>60</v>
      </c>
      <c r="G21" s="10">
        <f>Table_AnnualReport[[#This Row],[Actual]]/Table_AnnualReport[[#This Row],[Annual Budget]]</f>
        <v>0</v>
      </c>
      <c r="H21" s="32">
        <f>Table_AnnualReport[[#This Row],[Actual]]/$B$51</f>
        <v>0</v>
      </c>
      <c r="L21" s="36" t="str">
        <f>IF(ISBLANK(Table_AnnualReport[[#This Row],[Income/Expense]]),L20,Table_AnnualReport[[#This Row],[Income/Expense]])</f>
        <v>Expense</v>
      </c>
      <c r="M21" s="32" t="str">
        <f>IF(ISBLANK(Table_AnnualReport[[#This Row],[Main Category]]),M20,Table_AnnualReport[[#This Row],[Main Category]])</f>
        <v>Personal</v>
      </c>
      <c r="N21" s="32" t="str">
        <f>IF(ISBLANK(Table_AnnualReport[[#This Row],[Sub-Category]]),N20,Table_AnnualReport[[#This Row],[Sub-Category]])</f>
        <v>Subscriptions</v>
      </c>
      <c r="O21" s="32">
        <f>January!D21</f>
        <v>0</v>
      </c>
      <c r="P21" s="32">
        <v>0</v>
      </c>
      <c r="Q21" s="32">
        <v>0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0</v>
      </c>
      <c r="Y21" s="32">
        <v>0</v>
      </c>
      <c r="Z21" s="32">
        <v>0</v>
      </c>
      <c r="AF21" s="4">
        <v>1</v>
      </c>
    </row>
    <row r="22" spans="1:32" x14ac:dyDescent="0.3">
      <c r="A22" s="26"/>
      <c r="B22" s="19"/>
      <c r="C22" s="20" t="s">
        <v>28</v>
      </c>
      <c r="D22" s="32">
        <f>SUM(Table_ActualExpenseMonth[#This Row])</f>
        <v>0</v>
      </c>
      <c r="E22" s="32">
        <v>10</v>
      </c>
      <c r="F22" s="32">
        <f>Table_AnnualReport[[#This Row],[Monthly Budget]]*$B$53</f>
        <v>120</v>
      </c>
      <c r="G22" s="10">
        <f>Table_AnnualReport[[#This Row],[Actual]]/Table_AnnualReport[[#This Row],[Annual Budget]]</f>
        <v>0</v>
      </c>
      <c r="H22" s="32">
        <f>Table_AnnualReport[[#This Row],[Actual]]/$B$51</f>
        <v>0</v>
      </c>
      <c r="L22" s="36" t="str">
        <f>IF(ISBLANK(Table_AnnualReport[[#This Row],[Income/Expense]]),L21,Table_AnnualReport[[#This Row],[Income/Expense]])</f>
        <v>Expense</v>
      </c>
      <c r="M22" s="32" t="str">
        <f>IF(ISBLANK(Table_AnnualReport[[#This Row],[Main Category]]),M21,Table_AnnualReport[[#This Row],[Main Category]])</f>
        <v>Personal</v>
      </c>
      <c r="N22" s="32" t="str">
        <f>IF(ISBLANK(Table_AnnualReport[[#This Row],[Sub-Category]]),N21,Table_AnnualReport[[#This Row],[Sub-Category]])</f>
        <v>Sports</v>
      </c>
      <c r="O22" s="32">
        <f>January!D22</f>
        <v>0</v>
      </c>
      <c r="P22" s="32">
        <v>0</v>
      </c>
      <c r="Q22" s="32">
        <v>0</v>
      </c>
      <c r="R22" s="32">
        <v>0</v>
      </c>
      <c r="S22" s="32">
        <v>0</v>
      </c>
      <c r="T22" s="32">
        <v>0</v>
      </c>
      <c r="U22" s="32">
        <v>0</v>
      </c>
      <c r="V22" s="32">
        <v>0</v>
      </c>
      <c r="W22" s="32">
        <v>0</v>
      </c>
      <c r="X22" s="32">
        <v>0</v>
      </c>
      <c r="Y22" s="32">
        <v>0</v>
      </c>
      <c r="Z22" s="32">
        <v>0</v>
      </c>
      <c r="AF22" s="4">
        <v>1</v>
      </c>
    </row>
    <row r="23" spans="1:32" x14ac:dyDescent="0.3">
      <c r="A23" s="26"/>
      <c r="B23" s="20"/>
      <c r="C23" s="20" t="s">
        <v>26</v>
      </c>
      <c r="D23" s="32">
        <f>SUM(Table_ActualExpenseMonth[#This Row])</f>
        <v>0</v>
      </c>
      <c r="E23" s="32">
        <v>100</v>
      </c>
      <c r="F23" s="32">
        <f>Table_AnnualReport[[#This Row],[Monthly Budget]]*$B$53</f>
        <v>1200</v>
      </c>
      <c r="G23" s="10">
        <f>Table_AnnualReport[[#This Row],[Actual]]/Table_AnnualReport[[#This Row],[Annual Budget]]</f>
        <v>0</v>
      </c>
      <c r="H23" s="32">
        <f>Table_AnnualReport[[#This Row],[Actual]]/$B$51</f>
        <v>0</v>
      </c>
      <c r="L23" s="36" t="str">
        <f>IF(ISBLANK(Table_AnnualReport[[#This Row],[Income/Expense]]),L22,Table_AnnualReport[[#This Row],[Income/Expense]])</f>
        <v>Expense</v>
      </c>
      <c r="M23" s="32" t="str">
        <f>IF(ISBLANK(Table_AnnualReport[[#This Row],[Main Category]]),M22,Table_AnnualReport[[#This Row],[Main Category]])</f>
        <v>Personal</v>
      </c>
      <c r="N23" s="32" t="str">
        <f>IF(ISBLANK(Table_AnnualReport[[#This Row],[Sub-Category]]),N22,Table_AnnualReport[[#This Row],[Sub-Category]])</f>
        <v>Vacation</v>
      </c>
      <c r="O23" s="32">
        <f>January!D23</f>
        <v>0</v>
      </c>
      <c r="P23" s="32">
        <v>0</v>
      </c>
      <c r="Q23" s="32">
        <v>0</v>
      </c>
      <c r="R23" s="32">
        <v>0</v>
      </c>
      <c r="S23" s="32">
        <v>0</v>
      </c>
      <c r="T23" s="32">
        <v>0</v>
      </c>
      <c r="U23" s="32">
        <v>0</v>
      </c>
      <c r="V23" s="32">
        <v>0</v>
      </c>
      <c r="W23" s="32">
        <v>0</v>
      </c>
      <c r="X23" s="32">
        <v>0</v>
      </c>
      <c r="Y23" s="32">
        <v>0</v>
      </c>
      <c r="Z23" s="32">
        <v>0</v>
      </c>
      <c r="AF23" s="4">
        <v>1</v>
      </c>
    </row>
    <row r="24" spans="1:32" x14ac:dyDescent="0.3">
      <c r="A24" s="26"/>
      <c r="B24" s="20"/>
      <c r="C24" s="19" t="s">
        <v>85</v>
      </c>
      <c r="D24" s="32">
        <f>SUM(Table_ActualExpenseMonth[#This Row])</f>
        <v>349</v>
      </c>
      <c r="E24" s="32">
        <v>30</v>
      </c>
      <c r="F24" s="32">
        <f>Table_AnnualReport[[#This Row],[Monthly Budget]]*$B$53</f>
        <v>360</v>
      </c>
      <c r="G24" s="10">
        <f>Table_AnnualReport[[#This Row],[Actual]]/Table_AnnualReport[[#This Row],[Annual Budget]]</f>
        <v>0.96944444444444444</v>
      </c>
      <c r="H24" s="32">
        <f>Table_AnnualReport[[#This Row],[Actual]]/$B$51</f>
        <v>349</v>
      </c>
      <c r="L24" s="36" t="str">
        <f>IF(ISBLANK(Table_AnnualReport[[#This Row],[Income/Expense]]),L23,Table_AnnualReport[[#This Row],[Income/Expense]])</f>
        <v>Expense</v>
      </c>
      <c r="M24" s="32" t="str">
        <f>IF(ISBLANK(Table_AnnualReport[[#This Row],[Main Category]]),M23,Table_AnnualReport[[#This Row],[Main Category]])</f>
        <v>Personal</v>
      </c>
      <c r="N24" s="32" t="str">
        <f>IF(ISBLANK(Table_AnnualReport[[#This Row],[Sub-Category]]),N23,Table_AnnualReport[[#This Row],[Sub-Category]])</f>
        <v>Electronics</v>
      </c>
      <c r="O24" s="32">
        <f>January!D24</f>
        <v>349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  <c r="Z24" s="32">
        <v>0</v>
      </c>
      <c r="AF24" s="4">
        <v>1</v>
      </c>
    </row>
    <row r="25" spans="1:32" x14ac:dyDescent="0.3">
      <c r="A25" s="26"/>
      <c r="B25" s="20"/>
      <c r="C25" s="19" t="s">
        <v>75</v>
      </c>
      <c r="D25" s="32">
        <f>SUM(Table_ActualExpenseMonth[#This Row])</f>
        <v>0</v>
      </c>
      <c r="E25" s="32">
        <v>10</v>
      </c>
      <c r="F25" s="32">
        <f>Table_AnnualReport[[#This Row],[Monthly Budget]]*$B$53</f>
        <v>120</v>
      </c>
      <c r="G25" s="10">
        <f>Table_AnnualReport[[#This Row],[Actual]]/Table_AnnualReport[[#This Row],[Annual Budget]]</f>
        <v>0</v>
      </c>
      <c r="H25" s="32">
        <f>Table_AnnualReport[[#This Row],[Actual]]/$B$51</f>
        <v>0</v>
      </c>
      <c r="L25" s="36" t="str">
        <f>IF(ISBLANK(Table_AnnualReport[[#This Row],[Income/Expense]]),L24,Table_AnnualReport[[#This Row],[Income/Expense]])</f>
        <v>Expense</v>
      </c>
      <c r="M25" s="32" t="str">
        <f>IF(ISBLANK(Table_AnnualReport[[#This Row],[Main Category]]),M24,Table_AnnualReport[[#This Row],[Main Category]])</f>
        <v>Personal</v>
      </c>
      <c r="N25" s="32" t="str">
        <f>IF(ISBLANK(Table_AnnualReport[[#This Row],[Sub-Category]]),N24,Table_AnnualReport[[#This Row],[Sub-Category]])</f>
        <v>Receivable</v>
      </c>
      <c r="O25" s="32">
        <f>January!D25</f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  <c r="Z25" s="32">
        <v>0</v>
      </c>
      <c r="AF25" s="4">
        <v>1</v>
      </c>
    </row>
    <row r="26" spans="1:32" x14ac:dyDescent="0.3">
      <c r="A26" s="26"/>
      <c r="B26" s="20"/>
      <c r="C26" s="19" t="s">
        <v>32</v>
      </c>
      <c r="D26" s="32">
        <f>SUM(Table_ActualExpenseMonth[#This Row])</f>
        <v>0</v>
      </c>
      <c r="E26" s="32">
        <v>100</v>
      </c>
      <c r="F26" s="32">
        <f>Table_AnnualReport[[#This Row],[Monthly Budget]]*$B$53</f>
        <v>1200</v>
      </c>
      <c r="G26" s="10">
        <f>Table_AnnualReport[[#This Row],[Actual]]/Table_AnnualReport[[#This Row],[Annual Budget]]</f>
        <v>0</v>
      </c>
      <c r="H26" s="32">
        <f>Table_AnnualReport[[#This Row],[Actual]]/$B$51</f>
        <v>0</v>
      </c>
      <c r="L26" s="36" t="str">
        <f>IF(ISBLANK(Table_AnnualReport[[#This Row],[Income/Expense]]),L25,Table_AnnualReport[[#This Row],[Income/Expense]])</f>
        <v>Expense</v>
      </c>
      <c r="M26" s="32" t="str">
        <f>IF(ISBLANK(Table_AnnualReport[[#This Row],[Main Category]]),M25,Table_AnnualReport[[#This Row],[Main Category]])</f>
        <v>Personal</v>
      </c>
      <c r="N26" s="32" t="str">
        <f>IF(ISBLANK(Table_AnnualReport[[#This Row],[Sub-Category]]),N25,Table_AnnualReport[[#This Row],[Sub-Category]])</f>
        <v>Personal Others</v>
      </c>
      <c r="O26" s="32">
        <f>January!D26</f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  <c r="Z26" s="32">
        <v>0</v>
      </c>
      <c r="AF26" s="4">
        <v>1</v>
      </c>
    </row>
    <row r="27" spans="1:32" x14ac:dyDescent="0.3">
      <c r="A27" s="26"/>
      <c r="B27" s="21" t="s">
        <v>89</v>
      </c>
      <c r="C27" s="22" t="s">
        <v>13</v>
      </c>
      <c r="D27" s="33">
        <f>SUM(Table_ActualExpenseMonth[#This Row])</f>
        <v>150</v>
      </c>
      <c r="E27" s="33">
        <v>150</v>
      </c>
      <c r="F27" s="33">
        <f>Table_AnnualReport[[#This Row],[Monthly Budget]]*$B$53</f>
        <v>1800</v>
      </c>
      <c r="G27" s="11">
        <f>Table_AnnualReport[[#This Row],[Actual]]/Table_AnnualReport[[#This Row],[Annual Budget]]</f>
        <v>8.3333333333333329E-2</v>
      </c>
      <c r="H27" s="33">
        <f>Table_AnnualReport[[#This Row],[Actual]]/$B$51</f>
        <v>150</v>
      </c>
      <c r="L27" s="36" t="str">
        <f>IF(ISBLANK(Table_AnnualReport[[#This Row],[Income/Expense]]),L26,Table_AnnualReport[[#This Row],[Income/Expense]])</f>
        <v>Expense</v>
      </c>
      <c r="M27" s="33" t="str">
        <f>IF(ISBLANK(Table_AnnualReport[[#This Row],[Main Category]]),M26,Table_AnnualReport[[#This Row],[Main Category]])</f>
        <v>Transport</v>
      </c>
      <c r="N27" s="33" t="str">
        <f>IF(ISBLANK(Table_AnnualReport[[#This Row],[Sub-Category]]),N26,Table_AnnualReport[[#This Row],[Sub-Category]])</f>
        <v>Car</v>
      </c>
      <c r="O27" s="33">
        <f>January!D27</f>
        <v>150</v>
      </c>
      <c r="P27" s="33">
        <v>0</v>
      </c>
      <c r="Q27" s="33">
        <v>0</v>
      </c>
      <c r="R27" s="33">
        <v>0</v>
      </c>
      <c r="S27" s="33">
        <v>0</v>
      </c>
      <c r="T27" s="33">
        <v>0</v>
      </c>
      <c r="U27" s="33">
        <v>0</v>
      </c>
      <c r="V27" s="33">
        <v>0</v>
      </c>
      <c r="W27" s="33">
        <v>0</v>
      </c>
      <c r="X27" s="33">
        <v>0</v>
      </c>
      <c r="Y27" s="33">
        <v>0</v>
      </c>
      <c r="Z27" s="33">
        <v>0</v>
      </c>
      <c r="AF27" s="4">
        <v>1</v>
      </c>
    </row>
    <row r="28" spans="1:32" x14ac:dyDescent="0.3">
      <c r="A28" s="26"/>
      <c r="B28" s="21"/>
      <c r="C28" s="21" t="s">
        <v>96</v>
      </c>
      <c r="D28" s="33">
        <f>SUM(Table_ActualExpenseMonth[#This Row])</f>
        <v>75</v>
      </c>
      <c r="E28" s="33">
        <v>75</v>
      </c>
      <c r="F28" s="33">
        <f>Table_AnnualReport[[#This Row],[Monthly Budget]]*$B$53</f>
        <v>900</v>
      </c>
      <c r="G28" s="11">
        <f>Table_AnnualReport[[#This Row],[Actual]]/Table_AnnualReport[[#This Row],[Annual Budget]]</f>
        <v>8.3333333333333329E-2</v>
      </c>
      <c r="H28" s="33">
        <f>Table_AnnualReport[[#This Row],[Actual]]/$B$51</f>
        <v>75</v>
      </c>
      <c r="L28" s="36" t="str">
        <f>IF(ISBLANK(Table_AnnualReport[[#This Row],[Income/Expense]]),L27,Table_AnnualReport[[#This Row],[Income/Expense]])</f>
        <v>Expense</v>
      </c>
      <c r="M28" s="33" t="str">
        <f>IF(ISBLANK(Table_AnnualReport[[#This Row],[Main Category]]),M27,Table_AnnualReport[[#This Row],[Main Category]])</f>
        <v>Transport</v>
      </c>
      <c r="N28" s="33" t="str">
        <f>IF(ISBLANK(Table_AnnualReport[[#This Row],[Sub-Category]]),N27,Table_AnnualReport[[#This Row],[Sub-Category]])</f>
        <v>Car Insurance</v>
      </c>
      <c r="O28" s="33">
        <f>January!D28</f>
        <v>75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F28" s="4">
        <v>1</v>
      </c>
    </row>
    <row r="29" spans="1:32" x14ac:dyDescent="0.3">
      <c r="A29" s="26"/>
      <c r="B29" s="22"/>
      <c r="C29" s="22" t="s">
        <v>23</v>
      </c>
      <c r="D29" s="33">
        <f>SUM(Table_ActualExpenseMonth[#This Row])</f>
        <v>0</v>
      </c>
      <c r="E29" s="33">
        <v>0.01</v>
      </c>
      <c r="F29" s="33">
        <f>Table_AnnualReport[[#This Row],[Monthly Budget]]*$B$53</f>
        <v>0.12</v>
      </c>
      <c r="G29" s="11">
        <f>Table_AnnualReport[[#This Row],[Actual]]/Table_AnnualReport[[#This Row],[Annual Budget]]</f>
        <v>0</v>
      </c>
      <c r="H29" s="33">
        <f>Table_AnnualReport[[#This Row],[Actual]]/$B$51</f>
        <v>0</v>
      </c>
      <c r="L29" s="36" t="str">
        <f>IF(ISBLANK(Table_AnnualReport[[#This Row],[Income/Expense]]),L28,Table_AnnualReport[[#This Row],[Income/Expense]])</f>
        <v>Expense</v>
      </c>
      <c r="M29" s="33" t="str">
        <f>IF(ISBLANK(Table_AnnualReport[[#This Row],[Main Category]]),M28,Table_AnnualReport[[#This Row],[Main Category]])</f>
        <v>Transport</v>
      </c>
      <c r="N29" s="33" t="str">
        <f>IF(ISBLANK(Table_AnnualReport[[#This Row],[Sub-Category]]),N28,Table_AnnualReport[[#This Row],[Sub-Category]])</f>
        <v>Petrol</v>
      </c>
      <c r="O29" s="33">
        <f>January!D29</f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F29" s="4">
        <v>1</v>
      </c>
    </row>
    <row r="30" spans="1:32" x14ac:dyDescent="0.3">
      <c r="A30" s="26"/>
      <c r="B30" s="22"/>
      <c r="C30" s="21" t="s">
        <v>50</v>
      </c>
      <c r="D30" s="33">
        <f>SUM(Table_ActualExpenseMonth[#This Row])</f>
        <v>0</v>
      </c>
      <c r="E30" s="33">
        <v>100</v>
      </c>
      <c r="F30" s="33">
        <f>Table_AnnualReport[[#This Row],[Monthly Budget]]*$B$53</f>
        <v>1200</v>
      </c>
      <c r="G30" s="11">
        <f>Table_AnnualReport[[#This Row],[Actual]]/Table_AnnualReport[[#This Row],[Annual Budget]]</f>
        <v>0</v>
      </c>
      <c r="H30" s="33">
        <f>Table_AnnualReport[[#This Row],[Actual]]/$B$51</f>
        <v>0</v>
      </c>
      <c r="L30" s="36" t="str">
        <f>IF(ISBLANK(Table_AnnualReport[[#This Row],[Income/Expense]]),L29,Table_AnnualReport[[#This Row],[Income/Expense]])</f>
        <v>Expense</v>
      </c>
      <c r="M30" s="33" t="str">
        <f>IF(ISBLANK(Table_AnnualReport[[#This Row],[Main Category]]),M29,Table_AnnualReport[[#This Row],[Main Category]])</f>
        <v>Transport</v>
      </c>
      <c r="N30" s="33" t="str">
        <f>IF(ISBLANK(Table_AnnualReport[[#This Row],[Sub-Category]]),N29,Table_AnnualReport[[#This Row],[Sub-Category]])</f>
        <v>Public Transport</v>
      </c>
      <c r="O30" s="33">
        <f>January!D30</f>
        <v>0</v>
      </c>
      <c r="P30" s="33">
        <v>0</v>
      </c>
      <c r="Q30" s="33">
        <v>0</v>
      </c>
      <c r="R30" s="33">
        <v>0</v>
      </c>
      <c r="S30" s="33">
        <v>0</v>
      </c>
      <c r="T30" s="33">
        <v>0</v>
      </c>
      <c r="U30" s="33">
        <v>0</v>
      </c>
      <c r="V30" s="33">
        <v>0</v>
      </c>
      <c r="W30" s="33">
        <v>0</v>
      </c>
      <c r="X30" s="33">
        <v>0</v>
      </c>
      <c r="Y30" s="33">
        <v>0</v>
      </c>
      <c r="Z30" s="33">
        <v>0</v>
      </c>
      <c r="AF30" s="4">
        <v>1</v>
      </c>
    </row>
    <row r="31" spans="1:32" x14ac:dyDescent="0.3">
      <c r="A31" s="26"/>
      <c r="B31" s="22"/>
      <c r="C31" s="22" t="s">
        <v>25</v>
      </c>
      <c r="D31" s="33">
        <f>SUM(Table_ActualExpenseMonth[#This Row])</f>
        <v>0</v>
      </c>
      <c r="E31" s="33">
        <v>0.01</v>
      </c>
      <c r="F31" s="33">
        <f>Table_AnnualReport[[#This Row],[Monthly Budget]]*$B$53</f>
        <v>0.12</v>
      </c>
      <c r="G31" s="11">
        <f>Table_AnnualReport[[#This Row],[Actual]]/Table_AnnualReport[[#This Row],[Annual Budget]]</f>
        <v>0</v>
      </c>
      <c r="H31" s="33">
        <f>Table_AnnualReport[[#This Row],[Actual]]/$B$51</f>
        <v>0</v>
      </c>
      <c r="L31" s="36" t="str">
        <f>IF(ISBLANK(Table_AnnualReport[[#This Row],[Income/Expense]]),L30,Table_AnnualReport[[#This Row],[Income/Expense]])</f>
        <v>Expense</v>
      </c>
      <c r="M31" s="33" t="str">
        <f>IF(ISBLANK(Table_AnnualReport[[#This Row],[Main Category]]),M30,Table_AnnualReport[[#This Row],[Main Category]])</f>
        <v>Transport</v>
      </c>
      <c r="N31" s="33" t="str">
        <f>IF(ISBLANK(Table_AnnualReport[[#This Row],[Sub-Category]]),N30,Table_AnnualReport[[#This Row],[Sub-Category]])</f>
        <v>Car Maintainence</v>
      </c>
      <c r="O31" s="33">
        <f>January!D31</f>
        <v>0</v>
      </c>
      <c r="P31" s="33">
        <v>0</v>
      </c>
      <c r="Q31" s="33">
        <v>0</v>
      </c>
      <c r="R31" s="33">
        <v>0</v>
      </c>
      <c r="S31" s="33">
        <v>0</v>
      </c>
      <c r="T31" s="33">
        <v>0</v>
      </c>
      <c r="U31" s="33">
        <v>0</v>
      </c>
      <c r="V31" s="33">
        <v>0</v>
      </c>
      <c r="W31" s="33">
        <v>0</v>
      </c>
      <c r="X31" s="33">
        <v>0</v>
      </c>
      <c r="Y31" s="33">
        <v>0</v>
      </c>
      <c r="Z31" s="33">
        <v>0</v>
      </c>
      <c r="AF31" s="4">
        <v>1</v>
      </c>
    </row>
    <row r="32" spans="1:32" x14ac:dyDescent="0.3">
      <c r="A32" s="27"/>
      <c r="B32" s="22"/>
      <c r="C32" s="22" t="s">
        <v>33</v>
      </c>
      <c r="D32" s="33">
        <f>SUM(Table_ActualExpenseMonth[#This Row])</f>
        <v>0</v>
      </c>
      <c r="E32" s="33">
        <v>30</v>
      </c>
      <c r="F32" s="33">
        <f>Table_AnnualReport[[#This Row],[Monthly Budget]]*$B$53</f>
        <v>360</v>
      </c>
      <c r="G32" s="11">
        <f>Table_AnnualReport[[#This Row],[Actual]]/Table_AnnualReport[[#This Row],[Annual Budget]]</f>
        <v>0</v>
      </c>
      <c r="H32" s="33">
        <f>Table_AnnualReport[[#This Row],[Actual]]/$B$51</f>
        <v>0</v>
      </c>
      <c r="L32" s="36" t="str">
        <f>IF(ISBLANK(Table_AnnualReport[[#This Row],[Income/Expense]]),L31,Table_AnnualReport[[#This Row],[Income/Expense]])</f>
        <v>Expense</v>
      </c>
      <c r="M32" s="33" t="str">
        <f>IF(ISBLANK(Table_AnnualReport[[#This Row],[Main Category]]),M31,Table_AnnualReport[[#This Row],[Main Category]])</f>
        <v>Transport</v>
      </c>
      <c r="N32" s="33" t="str">
        <f>IF(ISBLANK(Table_AnnualReport[[#This Row],[Sub-Category]]),N31,Table_AnnualReport[[#This Row],[Sub-Category]])</f>
        <v>Transportation Others</v>
      </c>
      <c r="O32" s="33">
        <f>January!D32</f>
        <v>0</v>
      </c>
      <c r="P32" s="33">
        <v>0</v>
      </c>
      <c r="Q32" s="33">
        <v>0</v>
      </c>
      <c r="R32" s="33">
        <v>0</v>
      </c>
      <c r="S32" s="33">
        <v>0</v>
      </c>
      <c r="T32" s="33">
        <v>0</v>
      </c>
      <c r="U32" s="33">
        <v>0</v>
      </c>
      <c r="V32" s="33">
        <v>0</v>
      </c>
      <c r="W32" s="33">
        <v>0</v>
      </c>
      <c r="X32" s="33">
        <v>0</v>
      </c>
      <c r="Y32" s="33">
        <v>0</v>
      </c>
      <c r="Z32" s="33">
        <v>0</v>
      </c>
      <c r="AF32" s="4">
        <v>1</v>
      </c>
    </row>
    <row r="33" spans="1:32" x14ac:dyDescent="0.3">
      <c r="A33" s="27"/>
      <c r="B33" s="23" t="s">
        <v>45</v>
      </c>
      <c r="C33" s="24" t="s">
        <v>37</v>
      </c>
      <c r="D33" s="34">
        <f>SUM(Table_ActualExpenseMonth[#This Row])</f>
        <v>100</v>
      </c>
      <c r="E33" s="34">
        <v>100</v>
      </c>
      <c r="F33" s="34">
        <f>Table_AnnualReport[[#This Row],[Monthly Budget]]*$B$53</f>
        <v>1200</v>
      </c>
      <c r="G33" s="95">
        <f>Table_AnnualReport[[#This Row],[Actual]]/Table_AnnualReport[[#This Row],[Annual Budget]]</f>
        <v>8.3333333333333329E-2</v>
      </c>
      <c r="H33" s="34">
        <f>Table_AnnualReport[[#This Row],[Actual]]/$B$51</f>
        <v>100</v>
      </c>
      <c r="L33" s="36" t="str">
        <f>IF(ISBLANK(Table_AnnualReport[[#This Row],[Income/Expense]]),L32,Table_AnnualReport[[#This Row],[Income/Expense]])</f>
        <v>Expense</v>
      </c>
      <c r="M33" s="34" t="str">
        <f>IF(ISBLANK(Table_AnnualReport[[#This Row],[Main Category]]),M32,Table_AnnualReport[[#This Row],[Main Category]])</f>
        <v>Investment</v>
      </c>
      <c r="N33" s="34" t="str">
        <f>IF(ISBLANK(Table_AnnualReport[[#This Row],[Sub-Category]]),N32,Table_AnnualReport[[#This Row],[Sub-Category]])</f>
        <v>Pension Fund</v>
      </c>
      <c r="O33" s="34">
        <f>January!D33</f>
        <v>100</v>
      </c>
      <c r="P33" s="34">
        <v>0</v>
      </c>
      <c r="Q33" s="34">
        <v>0</v>
      </c>
      <c r="R33" s="34">
        <v>0</v>
      </c>
      <c r="S33" s="34">
        <v>0</v>
      </c>
      <c r="T33" s="34">
        <v>0</v>
      </c>
      <c r="U33" s="34">
        <v>0</v>
      </c>
      <c r="V33" s="34">
        <v>0</v>
      </c>
      <c r="W33" s="34">
        <v>0</v>
      </c>
      <c r="X33" s="34">
        <v>0</v>
      </c>
      <c r="Y33" s="34">
        <v>0</v>
      </c>
      <c r="Z33" s="34">
        <v>0</v>
      </c>
      <c r="AF33" s="4">
        <v>1</v>
      </c>
    </row>
    <row r="34" spans="1:32" x14ac:dyDescent="0.3">
      <c r="A34" s="26"/>
      <c r="B34" s="23"/>
      <c r="C34" s="23" t="s">
        <v>95</v>
      </c>
      <c r="D34" s="34">
        <f>SUM(Table_ActualExpenseMonth[#This Row])</f>
        <v>0</v>
      </c>
      <c r="E34" s="34">
        <v>30</v>
      </c>
      <c r="F34" s="34">
        <f>Table_AnnualReport[[#This Row],[Monthly Budget]]*$B$53</f>
        <v>360</v>
      </c>
      <c r="G34" s="95">
        <f>Table_AnnualReport[[#This Row],[Actual]]/Table_AnnualReport[[#This Row],[Annual Budget]]</f>
        <v>0</v>
      </c>
      <c r="H34" s="34">
        <f>Table_AnnualReport[[#This Row],[Actual]]/$B$51</f>
        <v>0</v>
      </c>
      <c r="L34" s="36" t="str">
        <f>IF(ISBLANK(Table_AnnualReport[[#This Row],[Income/Expense]]),L33,Table_AnnualReport[[#This Row],[Income/Expense]])</f>
        <v>Expense</v>
      </c>
      <c r="M34" s="34" t="str">
        <f>IF(ISBLANK(Table_AnnualReport[[#This Row],[Main Category]]),M33,Table_AnnualReport[[#This Row],[Main Category]])</f>
        <v>Investment</v>
      </c>
      <c r="N34" s="34" t="str">
        <f>IF(ISBLANK(Table_AnnualReport[[#This Row],[Sub-Category]]),N33,Table_AnnualReport[[#This Row],[Sub-Category]])</f>
        <v>Investment 1</v>
      </c>
      <c r="O34" s="34">
        <f>January!D34</f>
        <v>0</v>
      </c>
      <c r="P34" s="34">
        <v>0</v>
      </c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34">
        <v>0</v>
      </c>
      <c r="Z34" s="34">
        <v>0</v>
      </c>
      <c r="AF34">
        <v>1</v>
      </c>
    </row>
    <row r="35" spans="1:32" x14ac:dyDescent="0.3">
      <c r="A35" s="26"/>
      <c r="B35" s="23"/>
      <c r="C35" s="23" t="s">
        <v>94</v>
      </c>
      <c r="D35" s="34">
        <f>SUM(Table_ActualExpenseMonth[#This Row])</f>
        <v>0</v>
      </c>
      <c r="E35" s="34">
        <v>50</v>
      </c>
      <c r="F35" s="34">
        <f>Table_AnnualReport[[#This Row],[Monthly Budget]]*$B$53</f>
        <v>600</v>
      </c>
      <c r="G35" s="95">
        <f>Table_AnnualReport[[#This Row],[Actual]]/Table_AnnualReport[[#This Row],[Annual Budget]]</f>
        <v>0</v>
      </c>
      <c r="H35" s="34">
        <f>Table_AnnualReport[[#This Row],[Actual]]/$B$51</f>
        <v>0</v>
      </c>
      <c r="L35" s="36" t="str">
        <f>IF(ISBLANK(Table_AnnualReport[[#This Row],[Income/Expense]]),L34,Table_AnnualReport[[#This Row],[Income/Expense]])</f>
        <v>Expense</v>
      </c>
      <c r="M35" s="34" t="str">
        <f>IF(ISBLANK(Table_AnnualReport[[#This Row],[Main Category]]),M34,Table_AnnualReport[[#This Row],[Main Category]])</f>
        <v>Investment</v>
      </c>
      <c r="N35" s="34" t="str">
        <f>IF(ISBLANK(Table_AnnualReport[[#This Row],[Sub-Category]]),N34,Table_AnnualReport[[#This Row],[Sub-Category]])</f>
        <v>Investment 2</v>
      </c>
      <c r="O35" s="34">
        <f>January!D35</f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  <c r="W35" s="34">
        <v>0</v>
      </c>
      <c r="X35" s="34">
        <v>0</v>
      </c>
      <c r="Y35" s="34">
        <v>0</v>
      </c>
      <c r="Z35" s="34">
        <v>0</v>
      </c>
      <c r="AF35">
        <v>1</v>
      </c>
    </row>
    <row r="36" spans="1:32" s="4" customFormat="1" x14ac:dyDescent="0.3">
      <c r="A36" s="26"/>
      <c r="B36" s="23"/>
      <c r="C36" s="23" t="s">
        <v>7</v>
      </c>
      <c r="D36" s="34">
        <f>SUM(Table_ActualExpenseMonth[#This Row])</f>
        <v>50</v>
      </c>
      <c r="E36" s="34">
        <v>50</v>
      </c>
      <c r="F36" s="34">
        <f>Table_AnnualReport[[#This Row],[Monthly Budget]]*$B$53</f>
        <v>600</v>
      </c>
      <c r="G36" s="95">
        <f>Table_AnnualReport[[#This Row],[Actual]]/Table_AnnualReport[[#This Row],[Annual Budget]]</f>
        <v>8.3333333333333329E-2</v>
      </c>
      <c r="H36" s="34">
        <f>Table_AnnualReport[[#This Row],[Actual]]/$B$51</f>
        <v>50</v>
      </c>
      <c r="L36" s="36" t="str">
        <f>IF(ISBLANK(Table_AnnualReport[[#This Row],[Income/Expense]]),L35,Table_AnnualReport[[#This Row],[Income/Expense]])</f>
        <v>Expense</v>
      </c>
      <c r="M36" s="34" t="str">
        <f>IF(ISBLANK(Table_AnnualReport[[#This Row],[Main Category]]),M35,Table_AnnualReport[[#This Row],[Main Category]])</f>
        <v>Investment</v>
      </c>
      <c r="N36" s="34" t="str">
        <f>IF(ISBLANK(Table_AnnualReport[[#This Row],[Sub-Category]]),N35,Table_AnnualReport[[#This Row],[Sub-Category]])</f>
        <v>Stocks</v>
      </c>
      <c r="O36" s="34">
        <f>January!D36</f>
        <v>50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  <c r="W36" s="34">
        <v>0</v>
      </c>
      <c r="X36" s="34">
        <v>0</v>
      </c>
      <c r="Y36" s="34">
        <v>0</v>
      </c>
      <c r="Z36" s="34">
        <v>0</v>
      </c>
      <c r="AF36" s="4">
        <v>1</v>
      </c>
    </row>
    <row r="37" spans="1:32" s="4" customFormat="1" x14ac:dyDescent="0.3">
      <c r="A37"/>
      <c r="B37" s="5" t="s">
        <v>53</v>
      </c>
      <c r="C37" s="5" t="s">
        <v>54</v>
      </c>
      <c r="D37" s="35">
        <f>SUM(Table_ActualExpenseMonth[#This Row])</f>
        <v>200</v>
      </c>
      <c r="E37" s="37">
        <v>200</v>
      </c>
      <c r="F37" s="35">
        <f>Table_AnnualReport[[#This Row],[Monthly Budget]]*$B$53</f>
        <v>2400</v>
      </c>
      <c r="G37" s="64">
        <f>Table_AnnualReport[[#This Row],[Actual]]/Table_AnnualReport[[#This Row],[Annual Budget]]</f>
        <v>8.3333333333333329E-2</v>
      </c>
      <c r="H37" s="35">
        <f>Table_AnnualReport[[#This Row],[Actual]]/$B$51</f>
        <v>200</v>
      </c>
      <c r="L37" s="36" t="str">
        <f>IF(ISBLANK(Table_AnnualReport[[#This Row],[Income/Expense]]),L36,Table_AnnualReport[[#This Row],[Income/Expense]])</f>
        <v>Expense</v>
      </c>
      <c r="M37" s="107" t="str">
        <f>IF(ISBLANK(Table_AnnualReport[[#This Row],[Main Category]]),M36,Table_AnnualReport[[#This Row],[Main Category]])</f>
        <v>Insurance</v>
      </c>
      <c r="N37" s="107" t="str">
        <f>IF(ISBLANK(Table_AnnualReport[[#This Row],[Sub-Category]]),N36,Table_AnnualReport[[#This Row],[Sub-Category]])</f>
        <v>Medical Insurance</v>
      </c>
      <c r="O37" s="107">
        <f>January!D37</f>
        <v>200</v>
      </c>
      <c r="P37" s="107">
        <v>0</v>
      </c>
      <c r="Q37" s="107">
        <v>0</v>
      </c>
      <c r="R37" s="107">
        <v>0</v>
      </c>
      <c r="S37" s="107">
        <v>0</v>
      </c>
      <c r="T37" s="107">
        <v>0</v>
      </c>
      <c r="U37" s="107">
        <v>0</v>
      </c>
      <c r="V37" s="107">
        <v>0</v>
      </c>
      <c r="W37" s="107">
        <v>0</v>
      </c>
      <c r="X37" s="107">
        <v>0</v>
      </c>
      <c r="Y37" s="107">
        <v>0</v>
      </c>
      <c r="Z37" s="107">
        <v>0</v>
      </c>
      <c r="AF37" s="4">
        <v>1</v>
      </c>
    </row>
    <row r="38" spans="1:32" s="4" customFormat="1" x14ac:dyDescent="0.3">
      <c r="A38"/>
      <c r="B38" s="6"/>
      <c r="C38" s="5" t="s">
        <v>92</v>
      </c>
      <c r="D38" s="35">
        <f>SUM(Table_ActualExpenseMonth[#This Row])</f>
        <v>0</v>
      </c>
      <c r="E38" s="37">
        <v>30</v>
      </c>
      <c r="F38" s="35">
        <f>Table_AnnualReport[[#This Row],[Monthly Budget]]*$B$53</f>
        <v>360</v>
      </c>
      <c r="G38" s="64">
        <f>Table_AnnualReport[[#This Row],[Actual]]/Table_AnnualReport[[#This Row],[Annual Budget]]</f>
        <v>0</v>
      </c>
      <c r="H38" s="35">
        <f>Table_AnnualReport[[#This Row],[Actual]]/$B$51</f>
        <v>0</v>
      </c>
      <c r="L38" s="36" t="str">
        <f>IF(ISBLANK(Table_AnnualReport[[#This Row],[Income/Expense]]),L37,Table_AnnualReport[[#This Row],[Income/Expense]])</f>
        <v>Expense</v>
      </c>
      <c r="M38" s="107" t="str">
        <f>IF(ISBLANK(Table_AnnualReport[[#This Row],[Main Category]]),M37,Table_AnnualReport[[#This Row],[Main Category]])</f>
        <v>Insurance</v>
      </c>
      <c r="N38" s="107" t="str">
        <f>IF(ISBLANK(Table_AnnualReport[[#This Row],[Sub-Category]]),N37,Table_AnnualReport[[#This Row],[Sub-Category]])</f>
        <v>Insurance 1</v>
      </c>
      <c r="O38" s="107">
        <f>January!D38</f>
        <v>0</v>
      </c>
      <c r="P38" s="107">
        <v>0</v>
      </c>
      <c r="Q38" s="107">
        <v>0</v>
      </c>
      <c r="R38" s="107">
        <v>0</v>
      </c>
      <c r="S38" s="107">
        <v>0</v>
      </c>
      <c r="T38" s="107">
        <v>0</v>
      </c>
      <c r="U38" s="107">
        <v>0</v>
      </c>
      <c r="V38" s="107">
        <v>0</v>
      </c>
      <c r="W38" s="107">
        <v>0</v>
      </c>
      <c r="X38" s="107">
        <v>0</v>
      </c>
      <c r="Y38" s="107">
        <v>0</v>
      </c>
      <c r="Z38" s="107">
        <v>0</v>
      </c>
      <c r="AF38" s="4">
        <v>1</v>
      </c>
    </row>
    <row r="39" spans="1:32" s="4" customFormat="1" x14ac:dyDescent="0.3">
      <c r="B39" s="6"/>
      <c r="C39" s="5" t="s">
        <v>93</v>
      </c>
      <c r="D39" s="35">
        <f>SUM(Table_ActualExpenseMonth[#This Row])</f>
        <v>0</v>
      </c>
      <c r="E39" s="37">
        <v>15</v>
      </c>
      <c r="F39" s="35">
        <f>Table_AnnualReport[[#This Row],[Monthly Budget]]*$B$53</f>
        <v>180</v>
      </c>
      <c r="G39" s="64">
        <f>Table_AnnualReport[[#This Row],[Actual]]/Table_AnnualReport[[#This Row],[Annual Budget]]</f>
        <v>0</v>
      </c>
      <c r="H39" s="35">
        <f>Table_AnnualReport[[#This Row],[Actual]]/$B$51</f>
        <v>0</v>
      </c>
      <c r="L39" s="36" t="str">
        <f>IF(ISBLANK(Table_AnnualReport[[#This Row],[Income/Expense]]),L38,Table_AnnualReport[[#This Row],[Income/Expense]])</f>
        <v>Expense</v>
      </c>
      <c r="M39" s="107" t="str">
        <f>IF(ISBLANK(Table_AnnualReport[[#This Row],[Main Category]]),M38,Table_AnnualReport[[#This Row],[Main Category]])</f>
        <v>Insurance</v>
      </c>
      <c r="N39" s="107" t="str">
        <f>IF(ISBLANK(Table_AnnualReport[[#This Row],[Sub-Category]]),N38,Table_AnnualReport[[#This Row],[Sub-Category]])</f>
        <v>Insurance 2</v>
      </c>
      <c r="O39" s="107">
        <f>January!D39</f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</v>
      </c>
      <c r="X39" s="107">
        <v>0</v>
      </c>
      <c r="Y39" s="107">
        <v>0</v>
      </c>
      <c r="Z39" s="107">
        <v>0</v>
      </c>
      <c r="AF39" s="4">
        <v>1</v>
      </c>
    </row>
    <row r="40" spans="1:32" s="4" customFormat="1" x14ac:dyDescent="0.3">
      <c r="A40"/>
      <c r="B40"/>
      <c r="C40"/>
      <c r="D40" s="36"/>
      <c r="E40" s="36"/>
      <c r="F40" s="36"/>
      <c r="G40" s="36"/>
      <c r="H40" s="36"/>
      <c r="O40"/>
      <c r="P40"/>
      <c r="Q40"/>
      <c r="R40"/>
      <c r="S40"/>
      <c r="T40"/>
      <c r="U40" s="36"/>
      <c r="W40"/>
      <c r="X40"/>
      <c r="Y40"/>
      <c r="Z40"/>
    </row>
    <row r="41" spans="1:32" s="4" customFormat="1" x14ac:dyDescent="0.3">
      <c r="C41" s="77" t="s">
        <v>17</v>
      </c>
      <c r="D41" s="78">
        <f>SUM(D2:D3)</f>
        <v>2000</v>
      </c>
      <c r="E41" s="78">
        <f>SUM(E2:E3)</f>
        <v>2100</v>
      </c>
      <c r="F41" s="78">
        <f>SUM(F2:F3)</f>
        <v>25200</v>
      </c>
      <c r="G41" s="96">
        <f>D41/F41</f>
        <v>7.9365079365079361E-2</v>
      </c>
      <c r="H41" s="78">
        <f>D41/B51</f>
        <v>2000</v>
      </c>
      <c r="O41" s="78">
        <f t="shared" ref="O41:Z41" si="0">SUM(O2:O3)</f>
        <v>2000</v>
      </c>
      <c r="P41" s="78">
        <f t="shared" si="0"/>
        <v>0</v>
      </c>
      <c r="Q41" s="78">
        <f t="shared" si="0"/>
        <v>0</v>
      </c>
      <c r="R41" s="78">
        <f t="shared" si="0"/>
        <v>0</v>
      </c>
      <c r="S41" s="78">
        <f t="shared" si="0"/>
        <v>0</v>
      </c>
      <c r="T41" s="78">
        <f t="shared" si="0"/>
        <v>0</v>
      </c>
      <c r="U41" s="78">
        <f t="shared" si="0"/>
        <v>0</v>
      </c>
      <c r="V41" s="78">
        <f t="shared" si="0"/>
        <v>0</v>
      </c>
      <c r="W41" s="78">
        <f t="shared" si="0"/>
        <v>0</v>
      </c>
      <c r="X41" s="78">
        <f t="shared" si="0"/>
        <v>0</v>
      </c>
      <c r="Y41" s="78">
        <f t="shared" si="0"/>
        <v>0</v>
      </c>
      <c r="Z41" s="78">
        <f t="shared" si="0"/>
        <v>0</v>
      </c>
    </row>
    <row r="42" spans="1:32" s="4" customFormat="1" x14ac:dyDescent="0.3">
      <c r="C42" s="79" t="s">
        <v>35</v>
      </c>
      <c r="D42" s="80">
        <f>SUM(D4:D8)</f>
        <v>70</v>
      </c>
      <c r="E42" s="80">
        <f>SUM(E4:E8)</f>
        <v>320.01</v>
      </c>
      <c r="F42" s="80">
        <f>SUM(F4:F8)</f>
        <v>3840.12</v>
      </c>
      <c r="G42" s="97">
        <f t="shared" ref="G42:G49" si="1">D42/F42</f>
        <v>1.8228597023009697E-2</v>
      </c>
      <c r="H42" s="80">
        <f>D42/B51</f>
        <v>70</v>
      </c>
      <c r="O42" s="80">
        <f t="shared" ref="O42:Z42" si="2">SUM(O4:O8)</f>
        <v>70</v>
      </c>
      <c r="P42" s="80">
        <f t="shared" si="2"/>
        <v>0</v>
      </c>
      <c r="Q42" s="80">
        <f t="shared" si="2"/>
        <v>0</v>
      </c>
      <c r="R42" s="80">
        <f t="shared" si="2"/>
        <v>0</v>
      </c>
      <c r="S42" s="80">
        <f t="shared" si="2"/>
        <v>0</v>
      </c>
      <c r="T42" s="80">
        <f t="shared" si="2"/>
        <v>0</v>
      </c>
      <c r="U42" s="80">
        <f t="shared" si="2"/>
        <v>0</v>
      </c>
      <c r="V42" s="80">
        <f t="shared" si="2"/>
        <v>0</v>
      </c>
      <c r="W42" s="80">
        <f t="shared" si="2"/>
        <v>0</v>
      </c>
      <c r="X42" s="80">
        <f t="shared" si="2"/>
        <v>0</v>
      </c>
      <c r="Y42" s="80">
        <f t="shared" si="2"/>
        <v>0</v>
      </c>
      <c r="Z42" s="80">
        <f t="shared" si="2"/>
        <v>0</v>
      </c>
    </row>
    <row r="43" spans="1:32" x14ac:dyDescent="0.3">
      <c r="A43" s="4"/>
      <c r="B43" s="4"/>
      <c r="C43" s="81" t="s">
        <v>16</v>
      </c>
      <c r="D43" s="82">
        <f>SUM(D9:D13)</f>
        <v>300</v>
      </c>
      <c r="E43" s="82">
        <f>SUM(E9:E13)</f>
        <v>356</v>
      </c>
      <c r="F43" s="82">
        <f>SUM(F9:F13)</f>
        <v>4272</v>
      </c>
      <c r="G43" s="98">
        <f t="shared" si="1"/>
        <v>7.02247191011236E-2</v>
      </c>
      <c r="H43" s="82">
        <f>D43/B51</f>
        <v>300</v>
      </c>
      <c r="I43" s="4"/>
      <c r="O43" s="82">
        <f t="shared" ref="O43:Z43" si="3">SUM(O9:O13)</f>
        <v>300</v>
      </c>
      <c r="P43" s="82">
        <f t="shared" si="3"/>
        <v>0</v>
      </c>
      <c r="Q43" s="82">
        <f t="shared" si="3"/>
        <v>0</v>
      </c>
      <c r="R43" s="82">
        <f t="shared" si="3"/>
        <v>0</v>
      </c>
      <c r="S43" s="82">
        <f t="shared" si="3"/>
        <v>0</v>
      </c>
      <c r="T43" s="82">
        <f t="shared" si="3"/>
        <v>0</v>
      </c>
      <c r="U43" s="82">
        <f t="shared" si="3"/>
        <v>0</v>
      </c>
      <c r="V43" s="82">
        <f t="shared" si="3"/>
        <v>0</v>
      </c>
      <c r="W43" s="82">
        <f t="shared" si="3"/>
        <v>0</v>
      </c>
      <c r="X43" s="82">
        <f t="shared" si="3"/>
        <v>0</v>
      </c>
      <c r="Y43" s="82">
        <f t="shared" si="3"/>
        <v>0</v>
      </c>
      <c r="Z43" s="82">
        <f t="shared" si="3"/>
        <v>0</v>
      </c>
    </row>
    <row r="44" spans="1:32" s="4" customFormat="1" x14ac:dyDescent="0.3">
      <c r="C44" s="83" t="s">
        <v>34</v>
      </c>
      <c r="D44" s="84">
        <f>SUM(D14:D26)</f>
        <v>398.99</v>
      </c>
      <c r="E44" s="84">
        <f>SUM(E14:E26)</f>
        <v>475</v>
      </c>
      <c r="F44" s="84">
        <f>SUM(F14:F25)</f>
        <v>4500</v>
      </c>
      <c r="G44" s="99">
        <f t="shared" si="1"/>
        <v>8.8664444444444449E-2</v>
      </c>
      <c r="H44" s="84">
        <f>D44/B51</f>
        <v>398.99</v>
      </c>
      <c r="O44" s="84">
        <f t="shared" ref="O44:Z44" si="4">SUM(O14:O24)</f>
        <v>398.99</v>
      </c>
      <c r="P44" s="84">
        <f t="shared" si="4"/>
        <v>0</v>
      </c>
      <c r="Q44" s="84">
        <f t="shared" si="4"/>
        <v>0</v>
      </c>
      <c r="R44" s="84">
        <f t="shared" si="4"/>
        <v>0</v>
      </c>
      <c r="S44" s="84">
        <f t="shared" si="4"/>
        <v>0</v>
      </c>
      <c r="T44" s="84">
        <f t="shared" si="4"/>
        <v>0</v>
      </c>
      <c r="U44" s="84">
        <f t="shared" si="4"/>
        <v>0</v>
      </c>
      <c r="V44" s="84">
        <f t="shared" si="4"/>
        <v>0</v>
      </c>
      <c r="W44" s="84">
        <f t="shared" si="4"/>
        <v>0</v>
      </c>
      <c r="X44" s="84">
        <f t="shared" si="4"/>
        <v>0</v>
      </c>
      <c r="Y44" s="84">
        <f t="shared" si="4"/>
        <v>0</v>
      </c>
      <c r="Z44" s="84">
        <f t="shared" si="4"/>
        <v>0</v>
      </c>
    </row>
    <row r="45" spans="1:32" s="4" customFormat="1" x14ac:dyDescent="0.3">
      <c r="C45" s="85" t="s">
        <v>89</v>
      </c>
      <c r="D45" s="86">
        <f>SUM(D27:D32)</f>
        <v>225</v>
      </c>
      <c r="E45" s="86">
        <f>SUM(E27:E32)</f>
        <v>355.02</v>
      </c>
      <c r="F45" s="86">
        <f>SUM(F27:F32)</f>
        <v>4260.24</v>
      </c>
      <c r="G45" s="100">
        <f t="shared" si="1"/>
        <v>5.2813925976001354E-2</v>
      </c>
      <c r="H45" s="86">
        <f>D45/B51</f>
        <v>225</v>
      </c>
      <c r="O45" s="86">
        <f t="shared" ref="O45:Z45" si="5">SUM(O27:O32)</f>
        <v>225</v>
      </c>
      <c r="P45" s="86">
        <f t="shared" si="5"/>
        <v>0</v>
      </c>
      <c r="Q45" s="86">
        <f t="shared" si="5"/>
        <v>0</v>
      </c>
      <c r="R45" s="86">
        <f t="shared" si="5"/>
        <v>0</v>
      </c>
      <c r="S45" s="86">
        <f t="shared" si="5"/>
        <v>0</v>
      </c>
      <c r="T45" s="86">
        <f t="shared" si="5"/>
        <v>0</v>
      </c>
      <c r="U45" s="86">
        <f t="shared" si="5"/>
        <v>0</v>
      </c>
      <c r="V45" s="86">
        <f t="shared" si="5"/>
        <v>0</v>
      </c>
      <c r="W45" s="86">
        <f t="shared" si="5"/>
        <v>0</v>
      </c>
      <c r="X45" s="86">
        <f t="shared" si="5"/>
        <v>0</v>
      </c>
      <c r="Y45" s="86">
        <f t="shared" si="5"/>
        <v>0</v>
      </c>
      <c r="Z45" s="86">
        <f t="shared" si="5"/>
        <v>0</v>
      </c>
    </row>
    <row r="46" spans="1:32" s="4" customFormat="1" x14ac:dyDescent="0.3">
      <c r="C46" s="87" t="s">
        <v>45</v>
      </c>
      <c r="D46" s="88">
        <f>SUM(D33:D36)</f>
        <v>150</v>
      </c>
      <c r="E46" s="88">
        <f>SUM(E33:E36)</f>
        <v>230</v>
      </c>
      <c r="F46" s="88">
        <f>SUM(F33:F34)</f>
        <v>1560</v>
      </c>
      <c r="G46" s="101">
        <f t="shared" si="1"/>
        <v>9.6153846153846159E-2</v>
      </c>
      <c r="H46" s="88">
        <f>D46/B51</f>
        <v>150</v>
      </c>
      <c r="O46" s="88">
        <f t="shared" ref="O46:Z46" si="6">SUM(O33:O34)</f>
        <v>100</v>
      </c>
      <c r="P46" s="88">
        <f t="shared" si="6"/>
        <v>0</v>
      </c>
      <c r="Q46" s="88">
        <f t="shared" si="6"/>
        <v>0</v>
      </c>
      <c r="R46" s="88">
        <f t="shared" si="6"/>
        <v>0</v>
      </c>
      <c r="S46" s="88">
        <f t="shared" si="6"/>
        <v>0</v>
      </c>
      <c r="T46" s="88">
        <f t="shared" si="6"/>
        <v>0</v>
      </c>
      <c r="U46" s="88">
        <f t="shared" si="6"/>
        <v>0</v>
      </c>
      <c r="V46" s="88">
        <f t="shared" si="6"/>
        <v>0</v>
      </c>
      <c r="W46" s="88">
        <f t="shared" si="6"/>
        <v>0</v>
      </c>
      <c r="X46" s="88">
        <f t="shared" si="6"/>
        <v>0</v>
      </c>
      <c r="Y46" s="88">
        <f t="shared" si="6"/>
        <v>0</v>
      </c>
      <c r="Z46" s="88">
        <f t="shared" si="6"/>
        <v>0</v>
      </c>
    </row>
    <row r="47" spans="1:32" s="4" customFormat="1" x14ac:dyDescent="0.3">
      <c r="C47" s="89" t="s">
        <v>53</v>
      </c>
      <c r="D47" s="90">
        <f>SUM(D37:D39)</f>
        <v>200</v>
      </c>
      <c r="E47" s="90">
        <f>SUM(E37:E39)</f>
        <v>245</v>
      </c>
      <c r="F47" s="90">
        <f>SUM(F37:F39)</f>
        <v>2940</v>
      </c>
      <c r="G47" s="102">
        <f t="shared" si="1"/>
        <v>6.8027210884353748E-2</v>
      </c>
      <c r="H47" s="90">
        <f>D47/B51</f>
        <v>200</v>
      </c>
      <c r="O47" s="90">
        <f t="shared" ref="O47:Z47" si="7">SUM(O36:O38)</f>
        <v>250</v>
      </c>
      <c r="P47" s="90">
        <f t="shared" si="7"/>
        <v>0</v>
      </c>
      <c r="Q47" s="90">
        <f t="shared" si="7"/>
        <v>0</v>
      </c>
      <c r="R47" s="90">
        <f t="shared" si="7"/>
        <v>0</v>
      </c>
      <c r="S47" s="90">
        <f t="shared" si="7"/>
        <v>0</v>
      </c>
      <c r="T47" s="90">
        <f t="shared" si="7"/>
        <v>0</v>
      </c>
      <c r="U47" s="90">
        <f t="shared" si="7"/>
        <v>0</v>
      </c>
      <c r="V47" s="90">
        <f t="shared" si="7"/>
        <v>0</v>
      </c>
      <c r="W47" s="90">
        <f t="shared" si="7"/>
        <v>0</v>
      </c>
      <c r="X47" s="90">
        <f t="shared" si="7"/>
        <v>0</v>
      </c>
      <c r="Y47" s="90">
        <f t="shared" si="7"/>
        <v>0</v>
      </c>
      <c r="Z47" s="90">
        <f t="shared" si="7"/>
        <v>0</v>
      </c>
    </row>
    <row r="48" spans="1:32" x14ac:dyDescent="0.3">
      <c r="A48" s="4"/>
      <c r="B48" s="4"/>
      <c r="C48" s="92" t="s">
        <v>20</v>
      </c>
      <c r="D48" s="91">
        <f>SUM(D42:D47)</f>
        <v>1343.99</v>
      </c>
      <c r="E48" s="91">
        <f t="shared" ref="E48:H48" si="8">SUM(E42:E47)</f>
        <v>1981.03</v>
      </c>
      <c r="F48" s="91">
        <f t="shared" si="8"/>
        <v>21372.36</v>
      </c>
      <c r="G48" s="103">
        <f t="shared" si="1"/>
        <v>6.2884491932570855E-2</v>
      </c>
      <c r="H48" s="91">
        <f t="shared" si="8"/>
        <v>1343.99</v>
      </c>
      <c r="O48" s="91">
        <f>SUM(O42:O47)</f>
        <v>1343.99</v>
      </c>
      <c r="P48" s="91">
        <f t="shared" ref="P48:Z48" si="9">SUM(P42:P47)</f>
        <v>0</v>
      </c>
      <c r="Q48" s="91">
        <f t="shared" si="9"/>
        <v>0</v>
      </c>
      <c r="R48" s="91">
        <f t="shared" si="9"/>
        <v>0</v>
      </c>
      <c r="S48" s="91">
        <f t="shared" si="9"/>
        <v>0</v>
      </c>
      <c r="T48" s="91">
        <f t="shared" si="9"/>
        <v>0</v>
      </c>
      <c r="U48" s="91">
        <f t="shared" si="9"/>
        <v>0</v>
      </c>
      <c r="V48" s="91">
        <f t="shared" si="9"/>
        <v>0</v>
      </c>
      <c r="W48" s="91">
        <f t="shared" si="9"/>
        <v>0</v>
      </c>
      <c r="X48" s="91">
        <f t="shared" si="9"/>
        <v>0</v>
      </c>
      <c r="Y48" s="91">
        <f t="shared" si="9"/>
        <v>0</v>
      </c>
      <c r="Z48" s="91">
        <f t="shared" si="9"/>
        <v>0</v>
      </c>
    </row>
    <row r="49" spans="1:26" ht="15" thickBot="1" x14ac:dyDescent="0.35">
      <c r="A49" s="1"/>
      <c r="C49" s="70" t="s">
        <v>64</v>
      </c>
      <c r="D49" s="71">
        <f>SUM(D2:D3)-SUM(D4:D39)</f>
        <v>656.01</v>
      </c>
      <c r="E49" s="71">
        <f>SUM(E2:E3)-SUM(E4:E39)</f>
        <v>118.97000000000003</v>
      </c>
      <c r="F49" s="71">
        <f>SUM(F2:F3)-SUM(F4:F39)</f>
        <v>1427.6400000000031</v>
      </c>
      <c r="G49" s="104">
        <f t="shared" si="1"/>
        <v>0.45950659830209195</v>
      </c>
      <c r="H49" s="71">
        <f>D49/B51</f>
        <v>656.01</v>
      </c>
      <c r="O49" s="71">
        <f t="shared" ref="O49:Z49" si="10">SUM(O2:O3)-SUM(O4:O38)</f>
        <v>656.01</v>
      </c>
      <c r="P49" s="71">
        <f t="shared" si="10"/>
        <v>0</v>
      </c>
      <c r="Q49" s="71">
        <f t="shared" si="10"/>
        <v>0</v>
      </c>
      <c r="R49" s="71">
        <f t="shared" si="10"/>
        <v>0</v>
      </c>
      <c r="S49" s="71">
        <f t="shared" si="10"/>
        <v>0</v>
      </c>
      <c r="T49" s="71">
        <f t="shared" si="10"/>
        <v>0</v>
      </c>
      <c r="U49" s="71">
        <f t="shared" si="10"/>
        <v>0</v>
      </c>
      <c r="V49" s="71">
        <f t="shared" si="10"/>
        <v>0</v>
      </c>
      <c r="W49" s="71">
        <f t="shared" si="10"/>
        <v>0</v>
      </c>
      <c r="X49" s="71">
        <f t="shared" si="10"/>
        <v>0</v>
      </c>
      <c r="Y49" s="71">
        <f t="shared" si="10"/>
        <v>0</v>
      </c>
      <c r="Z49" s="71">
        <f t="shared" si="10"/>
        <v>0</v>
      </c>
    </row>
    <row r="50" spans="1:26" ht="15.6" thickTop="1" thickBot="1" x14ac:dyDescent="0.35">
      <c r="A50" s="1"/>
      <c r="B50" s="4"/>
      <c r="C50" s="4"/>
      <c r="D50" s="4"/>
      <c r="E50" s="1"/>
      <c r="F50" s="4"/>
      <c r="G50" s="4"/>
      <c r="H50" s="4"/>
      <c r="L50" s="1"/>
      <c r="M50" s="1"/>
      <c r="N50" s="1" t="s">
        <v>69</v>
      </c>
      <c r="O50" s="71">
        <f>O49</f>
        <v>656.01</v>
      </c>
      <c r="P50" s="71">
        <f>O50+P49</f>
        <v>656.01</v>
      </c>
      <c r="Q50" s="71">
        <f>P50+Q49</f>
        <v>656.01</v>
      </c>
      <c r="R50" s="71">
        <f t="shared" ref="R50:Z50" si="11">Q50+R49</f>
        <v>656.01</v>
      </c>
      <c r="S50" s="71">
        <f t="shared" si="11"/>
        <v>656.01</v>
      </c>
      <c r="T50" s="71">
        <f t="shared" si="11"/>
        <v>656.01</v>
      </c>
      <c r="U50" s="71">
        <f t="shared" si="11"/>
        <v>656.01</v>
      </c>
      <c r="V50" s="71">
        <f t="shared" si="11"/>
        <v>656.01</v>
      </c>
      <c r="W50" s="71">
        <f t="shared" si="11"/>
        <v>656.01</v>
      </c>
      <c r="X50" s="71">
        <f t="shared" si="11"/>
        <v>656.01</v>
      </c>
      <c r="Y50" s="71">
        <f t="shared" si="11"/>
        <v>656.01</v>
      </c>
      <c r="Z50" s="71">
        <f t="shared" si="11"/>
        <v>656.01</v>
      </c>
    </row>
    <row r="51" spans="1:26" s="4" customFormat="1" ht="15.6" thickTop="1" thickBot="1" x14ac:dyDescent="0.35">
      <c r="A51" s="1" t="s">
        <v>74</v>
      </c>
      <c r="B51" s="4">
        <f>VLOOKUP(Transactions!H5, Tabelle3[], 2, 0)</f>
        <v>1</v>
      </c>
      <c r="E51" s="1"/>
      <c r="L51" s="1"/>
      <c r="M51" s="1"/>
      <c r="N51" s="1" t="s">
        <v>70</v>
      </c>
      <c r="O51" s="71">
        <f>SUM(N51,'Annual Expense Report'!G7:H8)</f>
        <v>656.01</v>
      </c>
      <c r="P51" s="71">
        <f>SUM(O51,'Annual Expense Report'!G7:H8)</f>
        <v>1312.02</v>
      </c>
      <c r="Q51" s="71">
        <f>SUM(P51,'Annual Expense Report'!G7:H8)</f>
        <v>1968.03</v>
      </c>
      <c r="R51" s="71">
        <f>SUM(Q51,'Annual Expense Report'!G7:H8)</f>
        <v>2624.04</v>
      </c>
      <c r="S51" s="71">
        <f>SUM(R51,'Annual Expense Report'!G7:H8)</f>
        <v>3280.05</v>
      </c>
      <c r="T51" s="71">
        <f>SUM(S51,'Annual Expense Report'!G7:H8)</f>
        <v>3936.0600000000004</v>
      </c>
      <c r="U51" s="71">
        <f>SUM(T51,'Annual Expense Report'!G7:H8)</f>
        <v>4592.0700000000006</v>
      </c>
      <c r="V51" s="71">
        <f>SUM(U51,'Annual Expense Report'!G7:H8)</f>
        <v>5248.0800000000008</v>
      </c>
      <c r="W51" s="71">
        <f>SUM(V51,'Annual Expense Report'!G7:H8)</f>
        <v>5904.0900000000011</v>
      </c>
      <c r="X51" s="71">
        <f>SUM(W51,'Annual Expense Report'!G7:H8)</f>
        <v>6560.1000000000013</v>
      </c>
      <c r="Y51" s="71">
        <f>SUM(X51,'Annual Expense Report'!G7:H8)</f>
        <v>7216.1100000000015</v>
      </c>
      <c r="Z51" s="71">
        <f>SUM(Y51,'Annual Expense Report'!G7:H8)</f>
        <v>7872.1200000000017</v>
      </c>
    </row>
    <row r="52" spans="1:26" ht="15.6" thickTop="1" thickBot="1" x14ac:dyDescent="0.35">
      <c r="A52" s="1" t="s">
        <v>73</v>
      </c>
      <c r="B52" s="4">
        <f>B53-B51</f>
        <v>11</v>
      </c>
      <c r="C52" s="4"/>
      <c r="D52" s="4"/>
      <c r="E52" s="1"/>
      <c r="F52" s="4"/>
      <c r="G52" s="4"/>
      <c r="H52" s="4"/>
      <c r="L52" s="1"/>
      <c r="M52" s="1"/>
      <c r="N52" s="1" t="s">
        <v>71</v>
      </c>
      <c r="O52" s="71">
        <f>E49</f>
        <v>118.97000000000003</v>
      </c>
      <c r="P52" s="71">
        <f>O52+E49</f>
        <v>237.94000000000005</v>
      </c>
      <c r="Q52" s="71">
        <f>P52+E49</f>
        <v>356.91000000000008</v>
      </c>
      <c r="R52" s="71">
        <f>Q52+E49</f>
        <v>475.88000000000011</v>
      </c>
      <c r="S52" s="71">
        <f>R52+E49</f>
        <v>594.85000000000014</v>
      </c>
      <c r="T52" s="71">
        <f>S52+E49</f>
        <v>713.82000000000016</v>
      </c>
      <c r="U52" s="71">
        <f>T52+E49</f>
        <v>832.79000000000019</v>
      </c>
      <c r="V52" s="71">
        <f>U52+E49</f>
        <v>951.76000000000022</v>
      </c>
      <c r="W52" s="71">
        <f>V52+E49</f>
        <v>1070.7300000000002</v>
      </c>
      <c r="X52" s="71">
        <f>W52+E49</f>
        <v>1189.7000000000003</v>
      </c>
      <c r="Y52" s="71">
        <f>X52+E49</f>
        <v>1308.6700000000003</v>
      </c>
      <c r="Z52" s="71">
        <f>Y52+E49</f>
        <v>1427.6400000000003</v>
      </c>
    </row>
    <row r="53" spans="1:26" ht="15" thickTop="1" x14ac:dyDescent="0.3">
      <c r="A53" s="1" t="s">
        <v>86</v>
      </c>
      <c r="B53">
        <v>12</v>
      </c>
      <c r="U53" s="36"/>
      <c r="V53" s="4"/>
    </row>
    <row r="54" spans="1:26" x14ac:dyDescent="0.3">
      <c r="A54" s="4"/>
      <c r="B54" s="4"/>
      <c r="C54" s="4"/>
      <c r="O54" s="4"/>
      <c r="P54" s="4"/>
      <c r="Q54" s="4"/>
      <c r="R54" s="4"/>
      <c r="S54" s="4"/>
      <c r="T54" s="4"/>
      <c r="U54" s="36"/>
      <c r="V54" s="4"/>
      <c r="W54" s="4"/>
      <c r="X54" s="4"/>
      <c r="Y54" s="4"/>
      <c r="Z54" s="4"/>
    </row>
    <row r="55" spans="1:26" x14ac:dyDescent="0.3">
      <c r="A55" s="1" t="s">
        <v>40</v>
      </c>
      <c r="B55" s="1" t="s">
        <v>39</v>
      </c>
      <c r="C55" s="1" t="s">
        <v>46</v>
      </c>
      <c r="V55" s="4"/>
    </row>
    <row r="56" spans="1:26" x14ac:dyDescent="0.3">
      <c r="A56" s="13" t="s">
        <v>17</v>
      </c>
      <c r="B56" s="29">
        <f>SUM(E2:E3)</f>
        <v>2100</v>
      </c>
      <c r="C56" s="8">
        <f>B56/B56</f>
        <v>1</v>
      </c>
      <c r="V56" s="4"/>
    </row>
    <row r="57" spans="1:26" x14ac:dyDescent="0.3">
      <c r="A57" s="15" t="s">
        <v>35</v>
      </c>
      <c r="B57" s="30">
        <f>SUM(E4:E8)</f>
        <v>320.01</v>
      </c>
      <c r="C57" s="9">
        <f>B57/B56</f>
        <v>0.15238571428571429</v>
      </c>
      <c r="V57" s="4"/>
    </row>
    <row r="58" spans="1:26" x14ac:dyDescent="0.3">
      <c r="A58" s="16" t="s">
        <v>16</v>
      </c>
      <c r="B58" s="40">
        <f>SUM(E9:E13)</f>
        <v>356</v>
      </c>
      <c r="C58" s="72">
        <f>B58/B56</f>
        <v>0.16952380952380952</v>
      </c>
      <c r="V58" s="4"/>
    </row>
    <row r="59" spans="1:26" x14ac:dyDescent="0.3">
      <c r="A59" s="20" t="s">
        <v>34</v>
      </c>
      <c r="B59" s="32">
        <f>SUM(E14:E26)</f>
        <v>475</v>
      </c>
      <c r="C59" s="10">
        <f>B59/B56</f>
        <v>0.22619047619047619</v>
      </c>
      <c r="V59" s="4"/>
    </row>
    <row r="60" spans="1:26" x14ac:dyDescent="0.3">
      <c r="A60" s="21" t="s">
        <v>89</v>
      </c>
      <c r="B60" s="33">
        <f>SUM(E27:E32)</f>
        <v>355.02</v>
      </c>
      <c r="C60" s="11">
        <f>B60/B56</f>
        <v>0.16905714285714285</v>
      </c>
      <c r="V60" s="4"/>
    </row>
    <row r="61" spans="1:26" x14ac:dyDescent="0.3">
      <c r="A61" s="23" t="s">
        <v>45</v>
      </c>
      <c r="B61" s="43">
        <f>SUM(E33:E36)</f>
        <v>230</v>
      </c>
      <c r="C61" s="73">
        <f>B61/B56</f>
        <v>0.10952380952380952</v>
      </c>
      <c r="V61" s="4"/>
    </row>
    <row r="62" spans="1:26" x14ac:dyDescent="0.3">
      <c r="A62" s="6" t="s">
        <v>53</v>
      </c>
      <c r="B62" s="35">
        <f>SUM(E37:E39)</f>
        <v>245</v>
      </c>
      <c r="C62" s="64">
        <f>B62/B56</f>
        <v>0.11666666666666667</v>
      </c>
      <c r="V62" s="4"/>
    </row>
    <row r="63" spans="1:26" x14ac:dyDescent="0.3">
      <c r="A63" s="74" t="s">
        <v>64</v>
      </c>
      <c r="B63" s="75">
        <f>B56-SUM(B57:B62)</f>
        <v>118.97000000000003</v>
      </c>
      <c r="C63" s="76">
        <f>Tabelle12[[#This Row],[Budget]]/B56</f>
        <v>5.6652380952380968E-2</v>
      </c>
      <c r="V63" s="4"/>
    </row>
    <row r="64" spans="1:26" x14ac:dyDescent="0.3">
      <c r="V64" s="4"/>
    </row>
    <row r="65" spans="22:22" x14ac:dyDescent="0.3">
      <c r="V65" s="4"/>
    </row>
    <row r="66" spans="22:22" x14ac:dyDescent="0.3">
      <c r="V66" s="4"/>
    </row>
    <row r="67" spans="22:22" x14ac:dyDescent="0.3">
      <c r="V67" s="4"/>
    </row>
    <row r="68" spans="22:22" x14ac:dyDescent="0.3">
      <c r="V68" s="4"/>
    </row>
    <row r="69" spans="22:22" x14ac:dyDescent="0.3">
      <c r="V69" s="4"/>
    </row>
    <row r="70" spans="22:22" x14ac:dyDescent="0.3">
      <c r="V70" s="4"/>
    </row>
    <row r="71" spans="22:22" x14ac:dyDescent="0.3">
      <c r="V71" s="4"/>
    </row>
    <row r="83" spans="1:2" x14ac:dyDescent="0.3">
      <c r="A83" s="1" t="s">
        <v>103</v>
      </c>
      <c r="B83" s="1" t="s">
        <v>104</v>
      </c>
    </row>
    <row r="84" spans="1:2" x14ac:dyDescent="0.3">
      <c r="A84" s="1" t="s">
        <v>82</v>
      </c>
      <c r="B84">
        <v>1</v>
      </c>
    </row>
    <row r="85" spans="1:2" x14ac:dyDescent="0.3">
      <c r="A85" s="1" t="s">
        <v>83</v>
      </c>
      <c r="B85">
        <v>2</v>
      </c>
    </row>
    <row r="86" spans="1:2" x14ac:dyDescent="0.3">
      <c r="A86" s="1" t="s">
        <v>58</v>
      </c>
      <c r="B86">
        <v>3</v>
      </c>
    </row>
    <row r="87" spans="1:2" x14ac:dyDescent="0.3">
      <c r="A87" s="1" t="s">
        <v>36</v>
      </c>
      <c r="B87">
        <v>4</v>
      </c>
    </row>
    <row r="88" spans="1:2" x14ac:dyDescent="0.3">
      <c r="A88" s="1" t="s">
        <v>42</v>
      </c>
      <c r="B88">
        <v>5</v>
      </c>
    </row>
    <row r="89" spans="1:2" x14ac:dyDescent="0.3">
      <c r="A89" s="1" t="s">
        <v>49</v>
      </c>
      <c r="B89">
        <v>6</v>
      </c>
    </row>
    <row r="90" spans="1:2" x14ac:dyDescent="0.3">
      <c r="A90" s="1" t="s">
        <v>57</v>
      </c>
      <c r="B90">
        <v>7</v>
      </c>
    </row>
    <row r="91" spans="1:2" x14ac:dyDescent="0.3">
      <c r="A91" s="1" t="s">
        <v>59</v>
      </c>
      <c r="B91">
        <v>8</v>
      </c>
    </row>
    <row r="92" spans="1:2" x14ac:dyDescent="0.3">
      <c r="A92" s="1" t="s">
        <v>60</v>
      </c>
      <c r="B92">
        <v>9</v>
      </c>
    </row>
    <row r="93" spans="1:2" x14ac:dyDescent="0.3">
      <c r="A93" s="1" t="s">
        <v>61</v>
      </c>
      <c r="B93">
        <v>10</v>
      </c>
    </row>
    <row r="94" spans="1:2" x14ac:dyDescent="0.3">
      <c r="A94" s="1" t="s">
        <v>62</v>
      </c>
      <c r="B94">
        <v>11</v>
      </c>
    </row>
    <row r="95" spans="1:2" x14ac:dyDescent="0.3">
      <c r="A95" s="1" t="s">
        <v>63</v>
      </c>
      <c r="B95">
        <v>12</v>
      </c>
    </row>
  </sheetData>
  <phoneticPr fontId="3" type="noConversion"/>
  <conditionalFormatting sqref="G36:G49 G2:G34">
    <cfRule type="cellIs" dxfId="45" priority="4" operator="greaterThan">
      <formula>0.75</formula>
    </cfRule>
    <cfRule type="cellIs" dxfId="44" priority="5" operator="between">
      <formula>0.501</formula>
      <formula>0.75</formula>
    </cfRule>
    <cfRule type="cellIs" dxfId="43" priority="6" operator="lessThanOrEqual">
      <formula>0.5</formula>
    </cfRule>
  </conditionalFormatting>
  <conditionalFormatting sqref="G35">
    <cfRule type="cellIs" dxfId="42" priority="1" operator="greaterThan">
      <formula>0.75</formula>
    </cfRule>
    <cfRule type="cellIs" dxfId="41" priority="2" operator="between">
      <formula>0.501</formula>
      <formula>0.75</formula>
    </cfRule>
    <cfRule type="cellIs" dxfId="40" priority="3" operator="lessThanOrEqual">
      <formula>0.5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U36:Z39 U29:Z34 U2:Z27 U28:Y28 U35:X35" calculatedColumn="1"/>
    <ignoredError sqref="P41:Z47 E41:E47 B56:B62" formulaRange="1"/>
    <ignoredError sqref="G4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MainCategory">
                <anchor moveWithCells="1" sizeWithCells="1">
                  <from>
                    <xdr:col>8</xdr:col>
                    <xdr:colOff>373380</xdr:colOff>
                    <xdr:row>1</xdr:row>
                    <xdr:rowOff>30480</xdr:rowOff>
                  </from>
                  <to>
                    <xdr:col>10</xdr:col>
                    <xdr:colOff>396240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NewSubCategory">
                <anchor moveWithCells="1" sizeWithCells="1">
                  <from>
                    <xdr:col>8</xdr:col>
                    <xdr:colOff>373380</xdr:colOff>
                    <xdr:row>5</xdr:row>
                    <xdr:rowOff>0</xdr:rowOff>
                  </from>
                  <to>
                    <xdr:col>10</xdr:col>
                    <xdr:colOff>396240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0"/>
  <dimension ref="A1:L93"/>
  <sheetViews>
    <sheetView zoomScale="80" zoomScaleNormal="100" workbookViewId="0">
      <selection activeCell="D37" sqref="D37"/>
    </sheetView>
  </sheetViews>
  <sheetFormatPr defaultColWidth="11.5546875" defaultRowHeight="14.4" x14ac:dyDescent="0.3"/>
  <cols>
    <col min="1" max="1" width="11.5546875" style="4"/>
    <col min="2" max="2" width="19.109375" style="4" customWidth="1"/>
    <col min="3" max="3" width="11.5546875" style="3"/>
    <col min="4" max="4" width="16.44140625" style="4" bestFit="1" customWidth="1"/>
    <col min="5" max="5" width="11.5546875" style="4"/>
    <col min="6" max="6" width="13.5546875" style="3" bestFit="1" customWidth="1"/>
    <col min="7" max="7" width="19.6640625" style="4" bestFit="1" customWidth="1"/>
    <col min="8" max="8" width="11.5546875" style="3"/>
    <col min="9" max="9" width="11.5546875" style="4"/>
    <col min="10" max="10" width="20" style="4" bestFit="1" customWidth="1"/>
    <col min="11" max="11" width="13.5546875" style="4" customWidth="1"/>
    <col min="12" max="13" width="12.6640625" style="4" bestFit="1" customWidth="1"/>
    <col min="14" max="16384" width="11.5546875" style="4"/>
  </cols>
  <sheetData>
    <row r="1" spans="1:12" x14ac:dyDescent="0.3">
      <c r="A1" s="1" t="s">
        <v>22</v>
      </c>
      <c r="B1" s="1" t="s">
        <v>21</v>
      </c>
      <c r="C1" s="3" t="s">
        <v>19</v>
      </c>
      <c r="D1" s="4" t="s">
        <v>18</v>
      </c>
      <c r="F1" s="4"/>
      <c r="G1" s="1"/>
      <c r="H1" s="2"/>
      <c r="I1" s="1"/>
      <c r="J1" s="1"/>
      <c r="K1" s="1"/>
      <c r="L1" s="1"/>
    </row>
    <row r="2" spans="1:12" x14ac:dyDescent="0.3">
      <c r="A2" s="67">
        <v>43831</v>
      </c>
      <c r="B2" s="1" t="s">
        <v>10</v>
      </c>
      <c r="C2" s="62">
        <v>2000</v>
      </c>
      <c r="D2" s="1"/>
      <c r="H2" s="4"/>
    </row>
    <row r="3" spans="1:12" x14ac:dyDescent="0.3">
      <c r="A3" s="67">
        <v>43862</v>
      </c>
      <c r="B3" s="1" t="s">
        <v>54</v>
      </c>
      <c r="C3" s="62">
        <v>200</v>
      </c>
      <c r="D3" s="1"/>
      <c r="F3" s="4"/>
      <c r="H3" s="4"/>
    </row>
    <row r="4" spans="1:12" x14ac:dyDescent="0.3">
      <c r="A4" s="68"/>
      <c r="B4" s="1" t="s">
        <v>3</v>
      </c>
      <c r="C4" s="36">
        <v>300</v>
      </c>
      <c r="D4" s="1"/>
      <c r="F4" s="4"/>
      <c r="H4" s="4"/>
    </row>
    <row r="5" spans="1:12" x14ac:dyDescent="0.3">
      <c r="A5" s="67"/>
      <c r="B5" s="1" t="s">
        <v>6</v>
      </c>
      <c r="C5" s="36">
        <v>70</v>
      </c>
      <c r="D5" s="1" t="s">
        <v>100</v>
      </c>
      <c r="F5" s="4"/>
      <c r="G5" s="1" t="s">
        <v>80</v>
      </c>
      <c r="H5" s="1" t="s">
        <v>82</v>
      </c>
      <c r="J5" s="1" t="s">
        <v>81</v>
      </c>
      <c r="K5" s="1" t="s">
        <v>83</v>
      </c>
    </row>
    <row r="6" spans="1:12" x14ac:dyDescent="0.3">
      <c r="A6" s="67">
        <v>43891</v>
      </c>
      <c r="B6" s="1" t="s">
        <v>37</v>
      </c>
      <c r="C6" s="36">
        <v>100</v>
      </c>
      <c r="D6" s="1"/>
      <c r="F6" s="4"/>
      <c r="H6" s="4"/>
    </row>
    <row r="7" spans="1:12" x14ac:dyDescent="0.3">
      <c r="A7" s="67"/>
      <c r="B7" s="1" t="s">
        <v>7</v>
      </c>
      <c r="C7" s="36">
        <v>50</v>
      </c>
      <c r="D7" s="1"/>
      <c r="F7" s="4"/>
      <c r="H7" s="4"/>
    </row>
    <row r="8" spans="1:12" x14ac:dyDescent="0.3">
      <c r="A8" s="67"/>
      <c r="B8" s="1" t="s">
        <v>13</v>
      </c>
      <c r="C8" s="36">
        <v>150</v>
      </c>
      <c r="D8" s="1"/>
      <c r="F8" s="4"/>
      <c r="H8" s="4"/>
    </row>
    <row r="9" spans="1:12" x14ac:dyDescent="0.3">
      <c r="A9" s="67"/>
      <c r="B9" s="1" t="s">
        <v>96</v>
      </c>
      <c r="C9" s="62">
        <v>75</v>
      </c>
      <c r="D9" s="1"/>
      <c r="F9" s="4"/>
      <c r="H9" s="4"/>
    </row>
    <row r="10" spans="1:12" x14ac:dyDescent="0.3">
      <c r="A10" s="67"/>
      <c r="B10" s="1" t="s">
        <v>85</v>
      </c>
      <c r="C10" s="36">
        <v>349</v>
      </c>
      <c r="D10" s="1" t="s">
        <v>99</v>
      </c>
      <c r="F10" s="4"/>
      <c r="H10" s="4"/>
    </row>
    <row r="11" spans="1:12" x14ac:dyDescent="0.3">
      <c r="A11" s="67">
        <v>44013</v>
      </c>
      <c r="B11" s="1" t="s">
        <v>9</v>
      </c>
      <c r="C11" s="36">
        <v>49.99</v>
      </c>
      <c r="D11" s="1" t="s">
        <v>101</v>
      </c>
      <c r="F11" s="4"/>
      <c r="H11" s="4"/>
    </row>
    <row r="12" spans="1:12" x14ac:dyDescent="0.3">
      <c r="A12" s="67"/>
      <c r="B12" s="1"/>
      <c r="C12" s="36"/>
      <c r="D12" s="1"/>
      <c r="F12" s="4"/>
      <c r="H12" s="4"/>
    </row>
    <row r="13" spans="1:12" x14ac:dyDescent="0.3">
      <c r="A13" s="67"/>
      <c r="B13" s="1"/>
      <c r="C13" s="36"/>
      <c r="D13" s="1"/>
      <c r="F13" s="4"/>
      <c r="H13" s="4"/>
    </row>
    <row r="14" spans="1:12" x14ac:dyDescent="0.3">
      <c r="A14" s="67"/>
      <c r="B14" s="1"/>
      <c r="C14" s="36"/>
      <c r="D14" s="1"/>
      <c r="F14" s="4"/>
      <c r="H14" s="4"/>
    </row>
    <row r="15" spans="1:12" x14ac:dyDescent="0.3">
      <c r="A15" s="67"/>
      <c r="B15" s="1"/>
      <c r="C15" s="36"/>
      <c r="D15" s="1"/>
      <c r="F15" s="4"/>
      <c r="H15" s="4"/>
    </row>
    <row r="16" spans="1:12" x14ac:dyDescent="0.3">
      <c r="A16" s="67"/>
      <c r="B16" s="1"/>
      <c r="C16" s="36"/>
      <c r="D16" s="1"/>
      <c r="F16" s="4"/>
      <c r="H16" s="4"/>
    </row>
    <row r="17" spans="1:8" x14ac:dyDescent="0.3">
      <c r="A17" s="67"/>
      <c r="B17" s="1"/>
      <c r="C17" s="36"/>
      <c r="D17" s="1"/>
      <c r="F17" s="4"/>
      <c r="H17" s="4"/>
    </row>
    <row r="18" spans="1:8" x14ac:dyDescent="0.3">
      <c r="A18" s="67"/>
      <c r="B18" s="1"/>
      <c r="C18" s="62"/>
      <c r="D18" s="1"/>
      <c r="F18" s="4"/>
      <c r="H18" s="4"/>
    </row>
    <row r="19" spans="1:8" x14ac:dyDescent="0.3">
      <c r="A19" s="67"/>
      <c r="B19" s="1"/>
      <c r="C19" s="36"/>
      <c r="D19" s="1"/>
      <c r="F19" s="4"/>
      <c r="H19" s="4"/>
    </row>
    <row r="20" spans="1:8" x14ac:dyDescent="0.3">
      <c r="A20" s="67"/>
      <c r="B20" s="1"/>
      <c r="C20" s="36"/>
      <c r="D20" s="1"/>
      <c r="F20" s="4"/>
      <c r="H20" s="4"/>
    </row>
    <row r="21" spans="1:8" x14ac:dyDescent="0.3">
      <c r="A21" s="67"/>
      <c r="B21" s="1"/>
      <c r="C21" s="36"/>
      <c r="D21" s="1"/>
      <c r="F21" s="4"/>
      <c r="H21" s="4"/>
    </row>
    <row r="22" spans="1:8" x14ac:dyDescent="0.3">
      <c r="A22" s="67"/>
      <c r="B22" s="1"/>
      <c r="C22" s="36"/>
      <c r="D22" s="1"/>
      <c r="F22" s="4"/>
      <c r="H22" s="4"/>
    </row>
    <row r="23" spans="1:8" x14ac:dyDescent="0.3">
      <c r="A23" s="68"/>
      <c r="B23" s="1"/>
      <c r="C23" s="36"/>
      <c r="D23" s="1"/>
      <c r="F23" s="4"/>
      <c r="H23" s="4"/>
    </row>
    <row r="24" spans="1:8" x14ac:dyDescent="0.3">
      <c r="A24" s="67"/>
      <c r="B24" s="1"/>
      <c r="C24" s="36"/>
      <c r="D24" s="1"/>
      <c r="F24" s="4"/>
      <c r="H24" s="4"/>
    </row>
    <row r="25" spans="1:8" x14ac:dyDescent="0.3">
      <c r="A25" s="67"/>
      <c r="B25" s="1"/>
      <c r="C25" s="36"/>
      <c r="D25" s="1"/>
      <c r="F25" s="4"/>
      <c r="H25" s="4"/>
    </row>
    <row r="26" spans="1:8" x14ac:dyDescent="0.3">
      <c r="A26" s="67"/>
      <c r="B26" s="1"/>
      <c r="C26" s="36"/>
      <c r="D26" s="1"/>
      <c r="F26" s="4"/>
      <c r="H26" s="4"/>
    </row>
    <row r="27" spans="1:8" x14ac:dyDescent="0.3">
      <c r="A27" s="68"/>
      <c r="B27" s="1"/>
      <c r="C27" s="36"/>
      <c r="D27" s="1"/>
      <c r="F27" s="4"/>
      <c r="H27" s="4"/>
    </row>
    <row r="28" spans="1:8" x14ac:dyDescent="0.3">
      <c r="A28" s="68"/>
      <c r="B28" s="1"/>
      <c r="C28" s="36"/>
      <c r="D28" s="1"/>
      <c r="F28" s="4"/>
      <c r="H28" s="4"/>
    </row>
    <row r="29" spans="1:8" x14ac:dyDescent="0.3">
      <c r="A29" s="68"/>
      <c r="B29" s="1"/>
      <c r="C29" s="62"/>
      <c r="D29" s="1"/>
      <c r="F29" s="4"/>
      <c r="H29" s="4"/>
    </row>
    <row r="30" spans="1:8" x14ac:dyDescent="0.3">
      <c r="A30" s="68"/>
      <c r="B30" s="1"/>
      <c r="C30" s="36"/>
      <c r="D30" s="1"/>
      <c r="F30" s="4"/>
      <c r="H30" s="4"/>
    </row>
    <row r="31" spans="1:8" x14ac:dyDescent="0.3">
      <c r="A31" s="68"/>
      <c r="B31" s="1"/>
      <c r="C31" s="36"/>
      <c r="D31" s="1"/>
    </row>
    <row r="32" spans="1:8" x14ac:dyDescent="0.3">
      <c r="A32" s="68"/>
      <c r="B32" s="1"/>
      <c r="C32" s="62"/>
      <c r="D32" s="1"/>
    </row>
    <row r="33" spans="1:4" x14ac:dyDescent="0.3">
      <c r="A33" s="68"/>
      <c r="B33" s="1"/>
      <c r="C33" s="62"/>
      <c r="D33" s="1"/>
    </row>
    <row r="34" spans="1:4" x14ac:dyDescent="0.3">
      <c r="A34" s="68"/>
      <c r="B34" s="1"/>
      <c r="C34" s="62"/>
      <c r="D34" s="1"/>
    </row>
    <row r="35" spans="1:4" x14ac:dyDescent="0.3">
      <c r="A35" s="68"/>
      <c r="B35" s="1"/>
      <c r="C35" s="62"/>
      <c r="D35" s="1"/>
    </row>
    <row r="36" spans="1:4" x14ac:dyDescent="0.3">
      <c r="A36" s="68"/>
      <c r="B36" s="1"/>
      <c r="C36" s="36"/>
      <c r="D36" s="1"/>
    </row>
    <row r="37" spans="1:4" x14ac:dyDescent="0.3">
      <c r="A37" s="68"/>
      <c r="B37" s="1"/>
      <c r="C37" s="36"/>
      <c r="D37" s="1"/>
    </row>
    <row r="38" spans="1:4" x14ac:dyDescent="0.3">
      <c r="A38" s="68"/>
      <c r="B38" s="1"/>
      <c r="C38" s="36"/>
      <c r="D38" s="1"/>
    </row>
    <row r="39" spans="1:4" x14ac:dyDescent="0.3">
      <c r="A39" s="68"/>
      <c r="B39" s="1"/>
      <c r="C39" s="36"/>
      <c r="D39" s="1"/>
    </row>
    <row r="40" spans="1:4" x14ac:dyDescent="0.3">
      <c r="A40" s="68"/>
      <c r="B40" s="1"/>
      <c r="C40" s="36"/>
      <c r="D40" s="1"/>
    </row>
    <row r="41" spans="1:4" x14ac:dyDescent="0.3">
      <c r="A41" s="68"/>
      <c r="B41" s="1"/>
      <c r="C41" s="36"/>
      <c r="D41" s="1"/>
    </row>
    <row r="42" spans="1:4" x14ac:dyDescent="0.3">
      <c r="A42" s="68"/>
      <c r="B42" s="1"/>
      <c r="C42" s="36"/>
      <c r="D42" s="1"/>
    </row>
    <row r="43" spans="1:4" x14ac:dyDescent="0.3">
      <c r="A43" s="68"/>
      <c r="B43" s="1"/>
      <c r="C43" s="36"/>
      <c r="D43" s="1"/>
    </row>
    <row r="44" spans="1:4" x14ac:dyDescent="0.3">
      <c r="A44" s="68"/>
      <c r="B44" s="1"/>
      <c r="C44" s="36"/>
      <c r="D44" s="1"/>
    </row>
    <row r="45" spans="1:4" x14ac:dyDescent="0.3">
      <c r="A45" s="68"/>
      <c r="B45" s="1"/>
      <c r="C45" s="36"/>
      <c r="D45" s="1"/>
    </row>
    <row r="46" spans="1:4" x14ac:dyDescent="0.3">
      <c r="A46" s="68"/>
      <c r="B46" s="1"/>
      <c r="C46" s="36"/>
      <c r="D46" s="1"/>
    </row>
    <row r="47" spans="1:4" x14ac:dyDescent="0.3">
      <c r="A47" s="68"/>
      <c r="B47" s="1"/>
      <c r="C47" s="36"/>
      <c r="D47" s="1"/>
    </row>
    <row r="48" spans="1:4" x14ac:dyDescent="0.3">
      <c r="A48" s="68"/>
      <c r="B48" s="1"/>
      <c r="C48" s="36"/>
      <c r="D48" s="1"/>
    </row>
    <row r="49" spans="1:4" x14ac:dyDescent="0.3">
      <c r="A49" s="68"/>
      <c r="B49" s="1"/>
      <c r="C49" s="36"/>
      <c r="D49" s="1"/>
    </row>
    <row r="50" spans="1:4" x14ac:dyDescent="0.3">
      <c r="A50" s="67"/>
      <c r="B50" s="1"/>
      <c r="C50" s="36"/>
      <c r="D50" s="1"/>
    </row>
    <row r="51" spans="1:4" x14ac:dyDescent="0.3">
      <c r="A51" s="68"/>
      <c r="B51" s="1"/>
      <c r="C51" s="36"/>
      <c r="D51" s="1"/>
    </row>
    <row r="52" spans="1:4" x14ac:dyDescent="0.3">
      <c r="A52" s="68"/>
      <c r="B52" s="1"/>
      <c r="C52" s="36"/>
      <c r="D52" s="1"/>
    </row>
    <row r="53" spans="1:4" x14ac:dyDescent="0.3">
      <c r="A53" s="67"/>
      <c r="B53" s="1"/>
      <c r="C53" s="36"/>
      <c r="D53" s="1"/>
    </row>
    <row r="54" spans="1:4" x14ac:dyDescent="0.3">
      <c r="A54" s="67"/>
      <c r="B54" s="1"/>
      <c r="C54" s="36"/>
      <c r="D54" s="1"/>
    </row>
    <row r="55" spans="1:4" x14ac:dyDescent="0.3">
      <c r="A55" s="67"/>
      <c r="B55" s="1"/>
      <c r="C55" s="36"/>
      <c r="D55" s="1"/>
    </row>
    <row r="56" spans="1:4" x14ac:dyDescent="0.3">
      <c r="A56" s="68"/>
      <c r="B56" s="1"/>
      <c r="C56" s="36"/>
      <c r="D56" s="1"/>
    </row>
    <row r="57" spans="1:4" x14ac:dyDescent="0.3">
      <c r="A57" s="67"/>
      <c r="B57" s="1"/>
      <c r="C57" s="36"/>
      <c r="D57" s="1"/>
    </row>
    <row r="58" spans="1:4" x14ac:dyDescent="0.3">
      <c r="A58" s="68"/>
      <c r="B58" s="1"/>
      <c r="C58" s="36"/>
      <c r="D58" s="1"/>
    </row>
    <row r="59" spans="1:4" x14ac:dyDescent="0.3">
      <c r="A59" s="67"/>
      <c r="B59" s="1"/>
      <c r="C59" s="36"/>
      <c r="D59" s="1"/>
    </row>
    <row r="60" spans="1:4" x14ac:dyDescent="0.3">
      <c r="A60" s="67"/>
      <c r="B60" s="1"/>
      <c r="C60" s="36"/>
      <c r="D60" s="1"/>
    </row>
    <row r="61" spans="1:4" x14ac:dyDescent="0.3">
      <c r="A61" s="67"/>
      <c r="B61" s="1"/>
      <c r="C61" s="36"/>
      <c r="D61" s="1"/>
    </row>
    <row r="62" spans="1:4" x14ac:dyDescent="0.3">
      <c r="A62" s="67"/>
      <c r="B62" s="1"/>
      <c r="C62" s="36"/>
      <c r="D62" s="1"/>
    </row>
    <row r="63" spans="1:4" x14ac:dyDescent="0.3">
      <c r="A63" s="67"/>
      <c r="B63" s="1"/>
      <c r="C63" s="62"/>
      <c r="D63" s="1"/>
    </row>
    <row r="64" spans="1:4" x14ac:dyDescent="0.3">
      <c r="A64" s="67"/>
      <c r="B64" s="1"/>
      <c r="C64" s="36"/>
      <c r="D64" s="1"/>
    </row>
    <row r="65" spans="1:4" x14ac:dyDescent="0.3">
      <c r="A65" s="67"/>
      <c r="C65" s="36"/>
      <c r="D65" s="1"/>
    </row>
    <row r="66" spans="1:4" x14ac:dyDescent="0.3">
      <c r="A66" s="67"/>
      <c r="B66" s="1"/>
      <c r="C66" s="36"/>
      <c r="D66" s="1"/>
    </row>
    <row r="67" spans="1:4" x14ac:dyDescent="0.3">
      <c r="A67" s="68"/>
      <c r="C67" s="36"/>
      <c r="D67" s="1"/>
    </row>
    <row r="68" spans="1:4" x14ac:dyDescent="0.3">
      <c r="A68" s="68"/>
      <c r="B68" s="1"/>
      <c r="C68" s="36"/>
      <c r="D68" s="1"/>
    </row>
    <row r="69" spans="1:4" x14ac:dyDescent="0.3">
      <c r="A69" s="67"/>
      <c r="B69" s="1"/>
      <c r="C69" s="36"/>
      <c r="D69" s="1"/>
    </row>
    <row r="70" spans="1:4" x14ac:dyDescent="0.3">
      <c r="A70" s="67"/>
      <c r="C70" s="36"/>
      <c r="D70" s="1"/>
    </row>
    <row r="71" spans="1:4" x14ac:dyDescent="0.3">
      <c r="A71" s="67"/>
      <c r="B71" s="1"/>
      <c r="C71" s="36"/>
      <c r="D71" s="1"/>
    </row>
    <row r="72" spans="1:4" x14ac:dyDescent="0.3">
      <c r="A72" s="67"/>
      <c r="B72" s="1"/>
      <c r="C72" s="36"/>
      <c r="D72" s="1"/>
    </row>
    <row r="73" spans="1:4" x14ac:dyDescent="0.3">
      <c r="A73" s="68"/>
      <c r="C73" s="36"/>
      <c r="D73" s="1"/>
    </row>
    <row r="74" spans="1:4" x14ac:dyDescent="0.3">
      <c r="A74" s="7"/>
      <c r="D74" s="1"/>
    </row>
    <row r="75" spans="1:4" x14ac:dyDescent="0.3">
      <c r="A75" s="7"/>
      <c r="B75" s="1"/>
      <c r="D75" s="1"/>
    </row>
    <row r="76" spans="1:4" x14ac:dyDescent="0.3">
      <c r="A76" s="7"/>
      <c r="B76" s="1"/>
      <c r="D76" s="1"/>
    </row>
    <row r="77" spans="1:4" x14ac:dyDescent="0.3">
      <c r="A77" s="7"/>
      <c r="B77" s="1"/>
      <c r="D77" s="1"/>
    </row>
    <row r="78" spans="1:4" x14ac:dyDescent="0.3">
      <c r="A78" s="7"/>
      <c r="B78" s="1"/>
      <c r="D78" s="1"/>
    </row>
    <row r="79" spans="1:4" x14ac:dyDescent="0.3">
      <c r="A79" s="7"/>
      <c r="B79" s="1"/>
      <c r="D79" s="1"/>
    </row>
    <row r="80" spans="1:4" x14ac:dyDescent="0.3">
      <c r="A80" s="7"/>
      <c r="B80" s="1"/>
      <c r="D80" s="1"/>
    </row>
    <row r="81" spans="1:4" x14ac:dyDescent="0.3">
      <c r="A81" s="7"/>
      <c r="D81" s="1"/>
    </row>
    <row r="82" spans="1:4" x14ac:dyDescent="0.3">
      <c r="A82" s="7"/>
      <c r="B82" s="1"/>
      <c r="D82" s="1"/>
    </row>
    <row r="83" spans="1:4" x14ac:dyDescent="0.3">
      <c r="A83" s="7"/>
      <c r="D83" s="1"/>
    </row>
    <row r="84" spans="1:4" x14ac:dyDescent="0.3">
      <c r="A84" s="7"/>
      <c r="D84" s="1"/>
    </row>
    <row r="85" spans="1:4" x14ac:dyDescent="0.3">
      <c r="A85" s="7"/>
      <c r="D85" s="1"/>
    </row>
    <row r="86" spans="1:4" x14ac:dyDescent="0.3">
      <c r="A86" s="7"/>
      <c r="D86" s="1"/>
    </row>
    <row r="87" spans="1:4" x14ac:dyDescent="0.3">
      <c r="A87" s="7"/>
      <c r="D87" s="1"/>
    </row>
    <row r="88" spans="1:4" x14ac:dyDescent="0.3">
      <c r="A88" s="7"/>
      <c r="D88" s="1"/>
    </row>
    <row r="89" spans="1:4" x14ac:dyDescent="0.3">
      <c r="A89" s="7"/>
      <c r="D89" s="1"/>
    </row>
    <row r="90" spans="1:4" x14ac:dyDescent="0.3">
      <c r="A90" s="7"/>
      <c r="D90" s="1"/>
    </row>
    <row r="91" spans="1:4" x14ac:dyDescent="0.3">
      <c r="A91" s="7"/>
      <c r="D91" s="1"/>
    </row>
    <row r="92" spans="1:4" x14ac:dyDescent="0.3">
      <c r="A92" s="7"/>
      <c r="D92" s="1"/>
    </row>
    <row r="93" spans="1:4" x14ac:dyDescent="0.3">
      <c r="A93" s="7"/>
      <c r="D93" s="1"/>
    </row>
  </sheetData>
  <dataConsolidate link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CreateExpenseReport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8</xdr:col>
                    <xdr:colOff>22860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CreateNewMonthlyReport">
                <anchor moveWithCells="1" sizeWithCells="1">
                  <from>
                    <xdr:col>9</xdr:col>
                    <xdr:colOff>7620</xdr:colOff>
                    <xdr:row>0</xdr:row>
                    <xdr:rowOff>182880</xdr:rowOff>
                  </from>
                  <to>
                    <xdr:col>10</xdr:col>
                    <xdr:colOff>495300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Annual!$C$2:$C$39</xm:f>
          </x14:formula1>
          <xm:sqref>B2:B57</xm:sqref>
        </x14:dataValidation>
        <x14:dataValidation type="list" allowBlank="1" showInputMessage="1" showErrorMessage="1" xr:uid="{00000000-0002-0000-0200-000001000000}">
          <x14:formula1>
            <xm:f>Annual!$C$2:$C$38</xm:f>
          </x14:formula1>
          <xm:sqref>B1 B58:B1048576</xm:sqref>
        </x14:dataValidation>
        <x14:dataValidation type="list" allowBlank="1" showInputMessage="1" showErrorMessage="1" xr:uid="{FC24CF47-B14C-4383-A05B-4A957552FB90}">
          <x14:formula1>
            <xm:f>Annual!$O$1:$Z$1</xm:f>
          </x14:formula1>
          <xm:sqref>H5 K5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7"/>
  <dimension ref="A1:W49"/>
  <sheetViews>
    <sheetView zoomScale="80" zoomScaleNormal="80" workbookViewId="0"/>
  </sheetViews>
  <sheetFormatPr defaultColWidth="11.5546875" defaultRowHeight="14.4" x14ac:dyDescent="0.3"/>
  <cols>
    <col min="1" max="1" width="18.21875" style="4" bestFit="1" customWidth="1"/>
    <col min="2" max="2" width="16.21875" style="4" bestFit="1" customWidth="1"/>
    <col min="3" max="3" width="20" style="4" bestFit="1" customWidth="1"/>
    <col min="4" max="4" width="12.88671875" style="4" bestFit="1" customWidth="1"/>
    <col min="5" max="5" width="17.6640625" style="4" bestFit="1" customWidth="1"/>
    <col min="6" max="6" width="16.33203125" style="4" customWidth="1"/>
    <col min="7" max="7" width="11.5546875" style="63"/>
    <col min="8" max="16384" width="11.5546875" style="4"/>
  </cols>
  <sheetData>
    <row r="1" spans="1:23" x14ac:dyDescent="0.3">
      <c r="A1" s="59" t="s">
        <v>38</v>
      </c>
      <c r="B1" s="59" t="s">
        <v>40</v>
      </c>
      <c r="C1" s="59" t="s">
        <v>41</v>
      </c>
      <c r="D1" s="45" t="s">
        <v>2</v>
      </c>
      <c r="E1" s="45" t="s">
        <v>56</v>
      </c>
      <c r="F1" s="45" t="s">
        <v>1</v>
      </c>
      <c r="G1" s="4"/>
      <c r="H1" s="63"/>
      <c r="I1" s="69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</row>
    <row r="2" spans="1:23" x14ac:dyDescent="0.3">
      <c r="A2" s="48" t="s">
        <v>17</v>
      </c>
      <c r="B2" s="49" t="s">
        <v>17</v>
      </c>
      <c r="C2" s="49" t="s">
        <v>10</v>
      </c>
      <c r="D2" s="38">
        <v>2000</v>
      </c>
      <c r="E2" s="38">
        <v>2000</v>
      </c>
      <c r="F2" s="38">
        <v>0</v>
      </c>
      <c r="G2" s="4"/>
      <c r="H2" s="63"/>
      <c r="I2" s="69"/>
      <c r="J2" s="69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</row>
    <row r="3" spans="1:23" x14ac:dyDescent="0.3">
      <c r="A3" s="50"/>
      <c r="B3" s="49"/>
      <c r="C3" s="49" t="s">
        <v>0</v>
      </c>
      <c r="D3" s="38">
        <v>0</v>
      </c>
      <c r="E3" s="38">
        <v>100</v>
      </c>
      <c r="F3" s="38">
        <v>100</v>
      </c>
      <c r="G3" s="4"/>
      <c r="H3" s="63"/>
      <c r="I3" s="69"/>
      <c r="J3" s="69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</row>
    <row r="4" spans="1:23" x14ac:dyDescent="0.3">
      <c r="A4" s="48" t="s">
        <v>20</v>
      </c>
      <c r="B4" s="51" t="s">
        <v>35</v>
      </c>
      <c r="C4" s="51" t="s">
        <v>14</v>
      </c>
      <c r="D4" s="39">
        <v>0</v>
      </c>
      <c r="E4" s="39">
        <v>100</v>
      </c>
      <c r="F4" s="39">
        <v>100</v>
      </c>
      <c r="G4" s="4"/>
      <c r="H4" s="63"/>
      <c r="I4" s="69"/>
      <c r="J4" s="69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</row>
    <row r="5" spans="1:23" x14ac:dyDescent="0.3">
      <c r="A5" s="50"/>
      <c r="B5" s="51"/>
      <c r="C5" s="51" t="s">
        <v>6</v>
      </c>
      <c r="D5" s="39">
        <v>70</v>
      </c>
      <c r="E5" s="39">
        <v>100</v>
      </c>
      <c r="F5" s="39">
        <v>30</v>
      </c>
      <c r="G5" s="4"/>
      <c r="H5" s="63"/>
      <c r="I5" s="69"/>
      <c r="J5" s="69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3">
      <c r="A6" s="52"/>
      <c r="B6" s="51"/>
      <c r="C6" s="51" t="s">
        <v>11</v>
      </c>
      <c r="D6" s="39">
        <v>0</v>
      </c>
      <c r="E6" s="39">
        <v>20</v>
      </c>
      <c r="F6" s="39">
        <v>20</v>
      </c>
      <c r="G6" s="4"/>
      <c r="H6" s="63"/>
      <c r="I6" s="69"/>
      <c r="J6" s="69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3">
      <c r="A7" s="50"/>
      <c r="B7" s="51"/>
      <c r="C7" s="51" t="s">
        <v>43</v>
      </c>
      <c r="D7" s="39">
        <v>0</v>
      </c>
      <c r="E7" s="39">
        <v>100</v>
      </c>
      <c r="F7" s="39">
        <v>100</v>
      </c>
      <c r="G7" s="4"/>
      <c r="H7" s="63"/>
      <c r="I7" s="69"/>
      <c r="J7" s="69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3">
      <c r="A8" s="52"/>
      <c r="B8" s="51"/>
      <c r="C8" s="51" t="s">
        <v>31</v>
      </c>
      <c r="D8" s="39">
        <v>0</v>
      </c>
      <c r="E8" s="39">
        <v>0.01</v>
      </c>
      <c r="F8" s="39">
        <v>0.01</v>
      </c>
      <c r="G8" s="4"/>
      <c r="H8" s="63"/>
      <c r="I8" s="69"/>
      <c r="J8" s="69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3">
      <c r="A9" s="50"/>
      <c r="B9" s="53" t="s">
        <v>16</v>
      </c>
      <c r="C9" s="53" t="s">
        <v>3</v>
      </c>
      <c r="D9" s="40">
        <v>300</v>
      </c>
      <c r="E9" s="40">
        <v>300</v>
      </c>
      <c r="F9" s="40">
        <v>0</v>
      </c>
      <c r="G9" s="4"/>
      <c r="H9" s="63"/>
      <c r="I9" s="69"/>
      <c r="J9" s="69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</row>
    <row r="10" spans="1:23" x14ac:dyDescent="0.3">
      <c r="A10" s="52"/>
      <c r="B10" s="53"/>
      <c r="C10" s="53" t="s">
        <v>5</v>
      </c>
      <c r="D10" s="40">
        <v>0</v>
      </c>
      <c r="E10" s="40">
        <v>30</v>
      </c>
      <c r="F10" s="40">
        <v>30</v>
      </c>
      <c r="G10" s="4"/>
      <c r="H10" s="63"/>
      <c r="I10" s="69"/>
      <c r="J10" s="69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</row>
    <row r="11" spans="1:23" x14ac:dyDescent="0.3">
      <c r="A11" s="50"/>
      <c r="B11" s="53"/>
      <c r="C11" s="53" t="s">
        <v>4</v>
      </c>
      <c r="D11" s="40">
        <v>0</v>
      </c>
      <c r="E11" s="40">
        <v>6</v>
      </c>
      <c r="F11" s="40">
        <v>6</v>
      </c>
      <c r="G11" s="4"/>
      <c r="H11" s="63"/>
      <c r="I11" s="69"/>
      <c r="J11" s="69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x14ac:dyDescent="0.3">
      <c r="A12" s="52"/>
      <c r="B12" s="53"/>
      <c r="C12" s="53" t="s">
        <v>29</v>
      </c>
      <c r="D12" s="40">
        <v>0</v>
      </c>
      <c r="E12" s="40">
        <v>10</v>
      </c>
      <c r="F12" s="40">
        <v>10</v>
      </c>
      <c r="G12" s="4"/>
      <c r="H12" s="63"/>
      <c r="I12" s="69"/>
      <c r="J12" s="69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</row>
    <row r="13" spans="1:23" x14ac:dyDescent="0.3">
      <c r="A13" s="50"/>
      <c r="B13" s="53"/>
      <c r="C13" s="53" t="s">
        <v>30</v>
      </c>
      <c r="D13" s="40">
        <v>0</v>
      </c>
      <c r="E13" s="40">
        <v>10</v>
      </c>
      <c r="F13" s="40">
        <v>10</v>
      </c>
      <c r="G13" s="4"/>
      <c r="H13" s="63"/>
      <c r="I13" s="69"/>
      <c r="J13" s="69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23" x14ac:dyDescent="0.3">
      <c r="A14" s="52"/>
      <c r="B14" s="54" t="s">
        <v>34</v>
      </c>
      <c r="C14" s="54" t="s">
        <v>12</v>
      </c>
      <c r="D14" s="41">
        <v>0</v>
      </c>
      <c r="E14" s="41">
        <v>20</v>
      </c>
      <c r="F14" s="41">
        <v>20</v>
      </c>
      <c r="G14" s="4"/>
      <c r="H14" s="63"/>
      <c r="I14" s="69"/>
      <c r="J14" s="69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23" x14ac:dyDescent="0.3">
      <c r="A15" s="50"/>
      <c r="B15" s="54"/>
      <c r="C15" s="54" t="s">
        <v>15</v>
      </c>
      <c r="D15" s="41">
        <v>0</v>
      </c>
      <c r="E15" s="93">
        <v>20</v>
      </c>
      <c r="F15" s="93">
        <v>20</v>
      </c>
      <c r="G15" s="4"/>
      <c r="H15" s="63"/>
      <c r="I15" s="69"/>
      <c r="J15" s="69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23" x14ac:dyDescent="0.3">
      <c r="A16" s="52"/>
      <c r="B16" s="54"/>
      <c r="C16" s="54" t="s">
        <v>51</v>
      </c>
      <c r="D16" s="41">
        <v>0</v>
      </c>
      <c r="E16" s="41">
        <v>10</v>
      </c>
      <c r="F16" s="41">
        <v>10</v>
      </c>
      <c r="G16" s="4"/>
      <c r="H16" s="63"/>
      <c r="I16" s="69"/>
      <c r="J16" s="69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x14ac:dyDescent="0.3">
      <c r="A17" s="50"/>
      <c r="B17" s="54"/>
      <c r="C17" s="54" t="s">
        <v>9</v>
      </c>
      <c r="D17" s="41">
        <v>49.99</v>
      </c>
      <c r="E17" s="41">
        <v>30</v>
      </c>
      <c r="F17" s="41">
        <v>-19.990000000000002</v>
      </c>
      <c r="G17" s="4"/>
      <c r="H17" s="63"/>
      <c r="I17" s="69"/>
      <c r="J17" s="69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18" spans="1:23" x14ac:dyDescent="0.3">
      <c r="A18" s="52"/>
      <c r="B18" s="54"/>
      <c r="C18" s="54" t="s">
        <v>24</v>
      </c>
      <c r="D18" s="41">
        <v>0</v>
      </c>
      <c r="E18" s="41">
        <v>30</v>
      </c>
      <c r="F18" s="41">
        <v>30</v>
      </c>
      <c r="G18" s="4"/>
      <c r="H18" s="63"/>
      <c r="I18" s="69"/>
      <c r="J18" s="69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</row>
    <row r="19" spans="1:23" x14ac:dyDescent="0.3">
      <c r="A19" s="50"/>
      <c r="B19" s="54"/>
      <c r="C19" s="54" t="s">
        <v>27</v>
      </c>
      <c r="D19" s="41">
        <v>0</v>
      </c>
      <c r="E19" s="41">
        <v>100</v>
      </c>
      <c r="F19" s="41">
        <v>100</v>
      </c>
      <c r="G19" s="4"/>
      <c r="H19" s="63"/>
      <c r="I19" s="69"/>
      <c r="J19" s="69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</row>
    <row r="20" spans="1:23" x14ac:dyDescent="0.3">
      <c r="A20" s="52"/>
      <c r="B20" s="54"/>
      <c r="C20" s="54" t="s">
        <v>8</v>
      </c>
      <c r="D20" s="41">
        <v>0</v>
      </c>
      <c r="E20" s="41">
        <v>10</v>
      </c>
      <c r="F20" s="41">
        <v>10</v>
      </c>
      <c r="G20" s="4"/>
      <c r="H20" s="63"/>
      <c r="I20" s="69"/>
      <c r="J20" s="69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</row>
    <row r="21" spans="1:23" x14ac:dyDescent="0.3">
      <c r="A21" s="50"/>
      <c r="B21" s="54"/>
      <c r="C21" s="54" t="s">
        <v>55</v>
      </c>
      <c r="D21" s="41">
        <v>0</v>
      </c>
      <c r="E21" s="41">
        <v>5</v>
      </c>
      <c r="F21" s="41">
        <v>5</v>
      </c>
      <c r="G21" s="4"/>
      <c r="H21" s="63"/>
      <c r="I21" s="69"/>
      <c r="J21" s="69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</row>
    <row r="22" spans="1:23" x14ac:dyDescent="0.3">
      <c r="A22" s="52"/>
      <c r="B22" s="54"/>
      <c r="C22" s="54" t="s">
        <v>28</v>
      </c>
      <c r="D22" s="41">
        <v>0</v>
      </c>
      <c r="E22" s="41">
        <v>10</v>
      </c>
      <c r="F22" s="41">
        <v>10</v>
      </c>
      <c r="G22" s="4"/>
      <c r="H22" s="63"/>
      <c r="I22" s="69"/>
      <c r="J22" s="69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</row>
    <row r="23" spans="1:23" x14ac:dyDescent="0.3">
      <c r="A23" s="50"/>
      <c r="B23" s="54"/>
      <c r="C23" s="54" t="s">
        <v>26</v>
      </c>
      <c r="D23" s="41">
        <v>0</v>
      </c>
      <c r="E23" s="41">
        <v>100</v>
      </c>
      <c r="F23" s="41">
        <v>100</v>
      </c>
      <c r="G23" s="4"/>
      <c r="H23" s="63"/>
      <c r="I23" s="69"/>
      <c r="J23" s="69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</row>
    <row r="24" spans="1:23" x14ac:dyDescent="0.3">
      <c r="A24" s="52"/>
      <c r="B24" s="54"/>
      <c r="C24" s="54" t="s">
        <v>85</v>
      </c>
      <c r="D24" s="41">
        <v>349</v>
      </c>
      <c r="E24" s="41">
        <v>30</v>
      </c>
      <c r="F24" s="41">
        <v>-319</v>
      </c>
      <c r="G24" s="4"/>
      <c r="H24" s="63"/>
      <c r="I24" s="69"/>
      <c r="J24" s="69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</row>
    <row r="25" spans="1:23" x14ac:dyDescent="0.3">
      <c r="A25" s="50"/>
      <c r="B25" s="54"/>
      <c r="C25" s="54" t="s">
        <v>75</v>
      </c>
      <c r="D25" s="41">
        <v>0</v>
      </c>
      <c r="E25" s="41">
        <v>10</v>
      </c>
      <c r="F25" s="41">
        <v>10</v>
      </c>
      <c r="G25" s="4"/>
      <c r="H25" s="63"/>
      <c r="I25" s="69"/>
      <c r="J25" s="69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</row>
    <row r="26" spans="1:23" x14ac:dyDescent="0.3">
      <c r="A26" s="52"/>
      <c r="B26" s="54"/>
      <c r="C26" s="54" t="s">
        <v>32</v>
      </c>
      <c r="D26" s="41">
        <v>0</v>
      </c>
      <c r="E26" s="41">
        <v>100</v>
      </c>
      <c r="F26" s="41">
        <v>100</v>
      </c>
      <c r="G26" s="4"/>
      <c r="H26" s="63"/>
      <c r="I26" s="69"/>
      <c r="J26" s="69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50"/>
      <c r="B27" s="55" t="s">
        <v>89</v>
      </c>
      <c r="C27" s="55" t="s">
        <v>13</v>
      </c>
      <c r="D27" s="42">
        <v>150</v>
      </c>
      <c r="E27" s="42">
        <v>150</v>
      </c>
      <c r="F27" s="42">
        <v>0</v>
      </c>
      <c r="G27" s="4"/>
      <c r="H27" s="63"/>
      <c r="I27" s="69"/>
      <c r="J27" s="69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52"/>
      <c r="B28" s="55"/>
      <c r="C28" s="55" t="s">
        <v>96</v>
      </c>
      <c r="D28" s="42">
        <v>75</v>
      </c>
      <c r="E28" s="42">
        <v>75</v>
      </c>
      <c r="F28" s="42">
        <v>0</v>
      </c>
      <c r="G28" s="4"/>
      <c r="H28" s="63"/>
      <c r="I28" s="69"/>
      <c r="J28" s="69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50"/>
      <c r="B29" s="55"/>
      <c r="C29" s="55" t="s">
        <v>23</v>
      </c>
      <c r="D29" s="42">
        <v>0</v>
      </c>
      <c r="E29" s="42">
        <v>0.01</v>
      </c>
      <c r="F29" s="42">
        <v>0.01</v>
      </c>
      <c r="G29" s="4"/>
      <c r="H29" s="63"/>
      <c r="I29" s="69"/>
      <c r="J29" s="69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52"/>
      <c r="B30" s="55"/>
      <c r="C30" s="55" t="s">
        <v>50</v>
      </c>
      <c r="D30" s="42">
        <v>0</v>
      </c>
      <c r="E30" s="42">
        <v>100</v>
      </c>
      <c r="F30" s="42">
        <v>100</v>
      </c>
      <c r="G30" s="4"/>
      <c r="H30" s="63"/>
      <c r="I30" s="69"/>
      <c r="J30" s="69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1" spans="1:23" x14ac:dyDescent="0.3">
      <c r="A31" s="50"/>
      <c r="B31" s="55"/>
      <c r="C31" s="55" t="s">
        <v>25</v>
      </c>
      <c r="D31" s="42">
        <v>0</v>
      </c>
      <c r="E31" s="42">
        <v>0.01</v>
      </c>
      <c r="F31" s="42">
        <v>0.01</v>
      </c>
      <c r="G31" s="4"/>
      <c r="H31" s="63"/>
      <c r="I31" s="69"/>
      <c r="J31" s="69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</row>
    <row r="32" spans="1:23" x14ac:dyDescent="0.3">
      <c r="A32" s="52"/>
      <c r="B32" s="55"/>
      <c r="C32" s="55" t="s">
        <v>33</v>
      </c>
      <c r="D32" s="42">
        <v>0</v>
      </c>
      <c r="E32" s="42">
        <v>30</v>
      </c>
      <c r="F32" s="42">
        <v>30</v>
      </c>
      <c r="G32" s="4"/>
      <c r="H32" s="63"/>
      <c r="I32" s="69"/>
      <c r="J32" s="69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</row>
    <row r="33" spans="1:23" x14ac:dyDescent="0.3">
      <c r="A33" s="50"/>
      <c r="B33" s="56" t="s">
        <v>45</v>
      </c>
      <c r="C33" s="56" t="s">
        <v>37</v>
      </c>
      <c r="D33" s="43">
        <v>100</v>
      </c>
      <c r="E33" s="43">
        <v>100</v>
      </c>
      <c r="F33" s="43">
        <v>0</v>
      </c>
      <c r="G33" s="4"/>
      <c r="H33" s="63"/>
      <c r="I33" s="69"/>
      <c r="J33" s="69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</row>
    <row r="34" spans="1:23" x14ac:dyDescent="0.3">
      <c r="A34" s="52"/>
      <c r="B34" s="56"/>
      <c r="C34" s="56" t="s">
        <v>95</v>
      </c>
      <c r="D34" s="43">
        <v>0</v>
      </c>
      <c r="E34" s="43">
        <v>30</v>
      </c>
      <c r="F34" s="43">
        <v>30</v>
      </c>
      <c r="G34" s="4"/>
      <c r="H34" s="63"/>
      <c r="I34" s="69"/>
      <c r="J34" s="69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</row>
    <row r="35" spans="1:23" x14ac:dyDescent="0.3">
      <c r="A35" s="50"/>
      <c r="B35" s="56"/>
      <c r="C35" s="56" t="s">
        <v>94</v>
      </c>
      <c r="D35" s="43">
        <v>0</v>
      </c>
      <c r="E35" s="43">
        <v>50</v>
      </c>
      <c r="F35" s="43">
        <v>50</v>
      </c>
      <c r="G35" s="4"/>
      <c r="H35" s="63"/>
      <c r="I35" s="69"/>
      <c r="J35" s="69"/>
    </row>
    <row r="36" spans="1:23" x14ac:dyDescent="0.3">
      <c r="A36" s="52"/>
      <c r="B36" s="56"/>
      <c r="C36" s="56" t="s">
        <v>7</v>
      </c>
      <c r="D36" s="43">
        <v>50</v>
      </c>
      <c r="E36" s="43">
        <v>50</v>
      </c>
      <c r="F36" s="43">
        <v>0</v>
      </c>
      <c r="G36" s="4"/>
      <c r="H36" s="63"/>
      <c r="I36" s="63"/>
    </row>
    <row r="37" spans="1:23" x14ac:dyDescent="0.3">
      <c r="A37" s="66"/>
      <c r="B37" s="57" t="s">
        <v>53</v>
      </c>
      <c r="C37" s="57" t="s">
        <v>54</v>
      </c>
      <c r="D37" s="58">
        <v>200</v>
      </c>
      <c r="E37" s="44">
        <v>200</v>
      </c>
      <c r="F37" s="44">
        <v>0</v>
      </c>
      <c r="G37" s="4"/>
      <c r="H37" s="63"/>
      <c r="I37" s="63"/>
    </row>
    <row r="38" spans="1:23" x14ac:dyDescent="0.3">
      <c r="A38" s="47"/>
      <c r="B38" s="57"/>
      <c r="C38" s="57" t="s">
        <v>92</v>
      </c>
      <c r="D38" s="58">
        <v>0</v>
      </c>
      <c r="E38" s="44">
        <v>30</v>
      </c>
      <c r="F38" s="44">
        <v>30</v>
      </c>
      <c r="H38" s="63"/>
    </row>
    <row r="39" spans="1:23" x14ac:dyDescent="0.3">
      <c r="A39" s="50"/>
      <c r="B39" s="60"/>
      <c r="C39" s="60" t="s">
        <v>93</v>
      </c>
      <c r="D39" s="61">
        <v>0</v>
      </c>
      <c r="E39" s="46">
        <v>15</v>
      </c>
      <c r="F39" s="46">
        <v>15</v>
      </c>
      <c r="H39" s="63"/>
    </row>
    <row r="40" spans="1:23" x14ac:dyDescent="0.3">
      <c r="A40" s="63"/>
      <c r="B40" s="69"/>
      <c r="C40" s="69"/>
      <c r="D40" s="69"/>
      <c r="E40" s="63"/>
      <c r="F40" s="63"/>
    </row>
    <row r="41" spans="1:23" x14ac:dyDescent="0.3">
      <c r="A41" s="4" t="s">
        <v>40</v>
      </c>
      <c r="B41" s="69" t="s">
        <v>2</v>
      </c>
      <c r="C41" s="69" t="s">
        <v>39</v>
      </c>
      <c r="D41" s="69" t="s">
        <v>1</v>
      </c>
      <c r="E41" s="63" t="s">
        <v>44</v>
      </c>
      <c r="F41" s="63" t="s">
        <v>46</v>
      </c>
    </row>
    <row r="42" spans="1:23" x14ac:dyDescent="0.3">
      <c r="A42" s="4" t="s">
        <v>17</v>
      </c>
      <c r="B42" s="69">
        <v>2000</v>
      </c>
      <c r="C42" s="69">
        <v>2100</v>
      </c>
      <c r="D42" s="69">
        <v>100</v>
      </c>
      <c r="E42" s="63">
        <v>1.4881063103148089</v>
      </c>
      <c r="F42" s="63">
        <v>1</v>
      </c>
    </row>
    <row r="43" spans="1:23" x14ac:dyDescent="0.3">
      <c r="A43" s="4" t="s">
        <v>35</v>
      </c>
      <c r="B43" s="69">
        <v>70</v>
      </c>
      <c r="C43" s="69">
        <v>320.01</v>
      </c>
      <c r="D43" s="69">
        <v>250.01</v>
      </c>
      <c r="E43" s="63">
        <v>5.2083720861018312E-2</v>
      </c>
      <c r="F43" s="63">
        <v>0.15238571428571429</v>
      </c>
    </row>
    <row r="44" spans="1:23" x14ac:dyDescent="0.3">
      <c r="A44" s="4" t="s">
        <v>16</v>
      </c>
      <c r="B44" s="69">
        <v>300</v>
      </c>
      <c r="C44" s="69">
        <v>356</v>
      </c>
      <c r="D44" s="69">
        <v>56</v>
      </c>
      <c r="E44" s="63">
        <v>0.22321594654722132</v>
      </c>
      <c r="F44" s="63">
        <v>0.16952380952380952</v>
      </c>
    </row>
    <row r="45" spans="1:23" x14ac:dyDescent="0.3">
      <c r="A45" s="4" t="s">
        <v>34</v>
      </c>
      <c r="B45" s="69">
        <v>398.99</v>
      </c>
      <c r="C45" s="69">
        <v>475</v>
      </c>
      <c r="D45" s="69">
        <v>76.009999999999991</v>
      </c>
      <c r="E45" s="63">
        <v>0.29686976837625279</v>
      </c>
      <c r="F45" s="63">
        <v>0.22619047619047619</v>
      </c>
    </row>
    <row r="46" spans="1:23" x14ac:dyDescent="0.3">
      <c r="A46" s="4" t="s">
        <v>89</v>
      </c>
      <c r="B46" s="69">
        <v>225</v>
      </c>
      <c r="C46" s="69">
        <v>355.02</v>
      </c>
      <c r="D46" s="69">
        <v>130.01999999999998</v>
      </c>
      <c r="E46" s="63">
        <v>0.16741195991041599</v>
      </c>
      <c r="F46" s="63">
        <v>0.16905714285714285</v>
      </c>
    </row>
    <row r="47" spans="1:23" x14ac:dyDescent="0.3">
      <c r="A47" s="4" t="s">
        <v>45</v>
      </c>
      <c r="B47" s="69">
        <v>150</v>
      </c>
      <c r="C47" s="69">
        <v>230</v>
      </c>
      <c r="D47" s="69">
        <v>80</v>
      </c>
      <c r="E47" s="63">
        <v>0.11160797327361066</v>
      </c>
      <c r="F47" s="63">
        <v>0.10952380952380952</v>
      </c>
    </row>
    <row r="48" spans="1:23" x14ac:dyDescent="0.3">
      <c r="A48" s="4" t="s">
        <v>53</v>
      </c>
      <c r="B48" s="69">
        <v>200</v>
      </c>
      <c r="C48" s="69">
        <v>245</v>
      </c>
      <c r="D48" s="69">
        <v>45</v>
      </c>
      <c r="E48" s="63">
        <v>0.1488106310314809</v>
      </c>
      <c r="F48" s="63">
        <v>0.11666666666666667</v>
      </c>
    </row>
    <row r="49" spans="1:6" x14ac:dyDescent="0.3">
      <c r="A49" s="4" t="s">
        <v>47</v>
      </c>
      <c r="B49" s="69">
        <v>656.01</v>
      </c>
      <c r="C49" s="69">
        <v>118.97000000000003</v>
      </c>
      <c r="D49" s="69">
        <v>537.04</v>
      </c>
      <c r="E49" s="63" t="s">
        <v>48</v>
      </c>
      <c r="F49" s="63">
        <v>5.6652380952380968E-2</v>
      </c>
    </row>
  </sheetData>
  <pageMargins left="0.7" right="0.7" top="0.78740157499999996" bottom="0.78740157499999996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Annual Expense Report</vt:lpstr>
      <vt:lpstr>Annual</vt:lpstr>
      <vt:lpstr>Transactions</vt:lpstr>
      <vt:lpstr>January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ostano</dc:creator>
  <cp:lastModifiedBy>Ooi Siang Tan</cp:lastModifiedBy>
  <dcterms:created xsi:type="dcterms:W3CDTF">2014-09-21T13:28:29Z</dcterms:created>
  <dcterms:modified xsi:type="dcterms:W3CDTF">2021-04-05T15:37:34Z</dcterms:modified>
</cp:coreProperties>
</file>