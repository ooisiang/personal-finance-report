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gg_o\Desktop\personal-finance-report\"/>
    </mc:Choice>
  </mc:AlternateContent>
  <xr:revisionPtr revIDLastSave="0" documentId="13_ncr:1_{6C153AE4-F258-4843-B649-320FB15062AC}" xr6:coauthVersionLast="45" xr6:coauthVersionMax="45" xr10:uidLastSave="{00000000-0000-0000-0000-000000000000}"/>
  <bookViews>
    <workbookView xWindow="-108" yWindow="-108" windowWidth="23256" windowHeight="12576" tabRatio="897" xr2:uid="{00000000-000D-0000-FFFF-FFFF00000000}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9"/>
  <calcPr calcId="181029"/>
</workbook>
</file>

<file path=xl/calcChain.xml><?xml version="1.0" encoding="utf-8"?>
<calcChain xmlns="http://schemas.openxmlformats.org/spreadsheetml/2006/main">
  <c r="U8" i="22" l="1"/>
  <c r="U7" i="22"/>
  <c r="R8" i="22"/>
  <c r="R7" i="22"/>
  <c r="J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F28" i="17"/>
  <c r="E46" i="17"/>
  <c r="F35" i="17"/>
  <c r="B61" i="17" l="1"/>
  <c r="B52" i="17"/>
  <c r="F36" i="17"/>
  <c r="F39" i="17"/>
  <c r="F38" i="17"/>
  <c r="F37" i="17"/>
  <c r="F34" i="17"/>
  <c r="F33" i="17"/>
  <c r="F32" i="17"/>
  <c r="F31" i="17"/>
  <c r="F30" i="17"/>
  <c r="F29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B59" i="17" l="1"/>
  <c r="E44" i="17"/>
  <c r="D2" i="22" l="1"/>
  <c r="A2" i="22"/>
  <c r="B62" i="17"/>
  <c r="B60" i="17"/>
  <c r="B58" i="17"/>
  <c r="B57" i="17"/>
  <c r="B56" i="17"/>
  <c r="U49" i="17"/>
  <c r="T49" i="17"/>
  <c r="N49" i="17"/>
  <c r="M49" i="17"/>
  <c r="L49" i="17"/>
  <c r="K49" i="17"/>
  <c r="E49" i="17"/>
  <c r="U47" i="17"/>
  <c r="T47" i="17"/>
  <c r="N47" i="17"/>
  <c r="M47" i="17"/>
  <c r="L47" i="17"/>
  <c r="K47" i="17"/>
  <c r="E47" i="17"/>
  <c r="U46" i="17"/>
  <c r="T46" i="17"/>
  <c r="N46" i="17"/>
  <c r="M46" i="17"/>
  <c r="L46" i="17"/>
  <c r="K46" i="17"/>
  <c r="U45" i="17"/>
  <c r="T45" i="17"/>
  <c r="N45" i="17"/>
  <c r="M45" i="17"/>
  <c r="L45" i="17"/>
  <c r="K45" i="17"/>
  <c r="E45" i="17"/>
  <c r="U44" i="17"/>
  <c r="T44" i="17"/>
  <c r="N44" i="17"/>
  <c r="M44" i="17"/>
  <c r="L44" i="17"/>
  <c r="K44" i="17"/>
  <c r="U43" i="17"/>
  <c r="T43" i="17"/>
  <c r="N43" i="17"/>
  <c r="M43" i="17"/>
  <c r="L43" i="17"/>
  <c r="K43" i="17"/>
  <c r="E43" i="17"/>
  <c r="U42" i="17"/>
  <c r="T42" i="17"/>
  <c r="N42" i="17"/>
  <c r="M42" i="17"/>
  <c r="L42" i="17"/>
  <c r="K42" i="17"/>
  <c r="E42" i="17"/>
  <c r="U41" i="17"/>
  <c r="T41" i="17"/>
  <c r="N41" i="17"/>
  <c r="M41" i="17"/>
  <c r="L41" i="17"/>
  <c r="K41" i="17"/>
  <c r="E41" i="17"/>
  <c r="R47" i="17"/>
  <c r="S46" i="17"/>
  <c r="P41" i="17"/>
  <c r="L48" i="17" l="1"/>
  <c r="B63" i="17"/>
  <c r="C63" i="17" s="1"/>
  <c r="K48" i="17"/>
  <c r="M48" i="17"/>
  <c r="E48" i="17"/>
  <c r="J52" i="17"/>
  <c r="K52" i="17" s="1"/>
  <c r="L52" i="17" s="1"/>
  <c r="M52" i="17" s="1"/>
  <c r="N52" i="17" s="1"/>
  <c r="O52" i="17" s="1"/>
  <c r="P52" i="17" s="1"/>
  <c r="Q52" i="17" s="1"/>
  <c r="R52" i="17" s="1"/>
  <c r="S52" i="17" s="1"/>
  <c r="T52" i="17" s="1"/>
  <c r="U52" i="17" s="1"/>
  <c r="N48" i="17"/>
  <c r="R41" i="17"/>
  <c r="U48" i="17"/>
  <c r="F49" i="17"/>
  <c r="J2" i="22" s="1"/>
  <c r="C60" i="17"/>
  <c r="C61" i="17"/>
  <c r="P46" i="17"/>
  <c r="F46" i="17"/>
  <c r="R46" i="17"/>
  <c r="C59" i="17"/>
  <c r="C57" i="17"/>
  <c r="C58" i="17"/>
  <c r="C62" i="17"/>
  <c r="T48" i="17"/>
  <c r="C56" i="17"/>
  <c r="Q41" i="17"/>
  <c r="F43" i="17"/>
  <c r="R43" i="17"/>
  <c r="R45" i="17"/>
  <c r="Q46" i="17"/>
  <c r="F47" i="17"/>
  <c r="F42" i="17"/>
  <c r="O43" i="17"/>
  <c r="R49" i="17"/>
  <c r="O42" i="17"/>
  <c r="Q42" i="17"/>
  <c r="Q44" i="17"/>
  <c r="Q45" i="17"/>
  <c r="P45" i="17"/>
  <c r="O47" i="17"/>
  <c r="P44" i="17"/>
  <c r="F44" i="17"/>
  <c r="Q47" i="17"/>
  <c r="F41" i="17"/>
  <c r="P42" i="17"/>
  <c r="R42" i="17"/>
  <c r="Q43" i="17"/>
  <c r="P43" i="17"/>
  <c r="R44" i="17"/>
  <c r="F45" i="17"/>
  <c r="O46" i="17"/>
  <c r="O44" i="17"/>
  <c r="P47" i="17"/>
  <c r="O49" i="17"/>
  <c r="O41" i="17"/>
  <c r="O45" i="17"/>
  <c r="P49" i="17"/>
  <c r="Q49" i="17"/>
  <c r="S47" i="17"/>
  <c r="S45" i="17"/>
  <c r="S44" i="17"/>
  <c r="S43" i="17"/>
  <c r="S42" i="17"/>
  <c r="S41" i="17"/>
  <c r="S49" i="17"/>
  <c r="Q48" i="17" l="1"/>
  <c r="O48" i="17"/>
  <c r="R48" i="17"/>
  <c r="F48" i="17"/>
  <c r="P48" i="17"/>
  <c r="S48" i="17"/>
  <c r="D2" i="17"/>
  <c r="G2" i="17" l="1"/>
  <c r="H2" i="17"/>
  <c r="D3" i="17"/>
  <c r="A7" i="22" s="1"/>
  <c r="J41" i="17" l="1"/>
  <c r="D41" i="17"/>
  <c r="G3" i="17"/>
  <c r="H3" i="17"/>
  <c r="G41" i="17" l="1"/>
  <c r="H41" i="17"/>
  <c r="D4" i="17"/>
  <c r="G4" i="17" l="1"/>
  <c r="H4" i="17"/>
  <c r="D5" i="17"/>
  <c r="G5" i="17" s="1"/>
  <c r="H5" i="17" l="1"/>
  <c r="D6" i="17"/>
  <c r="H6" i="17" s="1"/>
  <c r="G6" i="17" l="1"/>
  <c r="D7" i="17" l="1"/>
  <c r="G7" i="17" l="1"/>
  <c r="H7" i="17"/>
  <c r="D8" i="17" l="1"/>
  <c r="J42" i="17"/>
  <c r="H8" i="17" l="1"/>
  <c r="D42" i="17"/>
  <c r="G8" i="17"/>
  <c r="G42" i="17" l="1"/>
  <c r="H42" i="17"/>
  <c r="D9" i="17" l="1"/>
  <c r="G9" i="17" l="1"/>
  <c r="H9" i="17"/>
  <c r="D10" i="17"/>
  <c r="G10" i="17" l="1"/>
  <c r="H10" i="17"/>
  <c r="D11" i="17"/>
  <c r="H11" i="17" s="1"/>
  <c r="G11" i="17" l="1"/>
  <c r="D12" i="17" l="1"/>
  <c r="G12" i="17" l="1"/>
  <c r="H12" i="17"/>
  <c r="D13" i="17"/>
  <c r="D43" i="17" s="1"/>
  <c r="H43" i="17" l="1"/>
  <c r="G43" i="17"/>
  <c r="G13" i="17"/>
  <c r="J43" i="17"/>
  <c r="H13" i="17"/>
  <c r="D14" i="17"/>
  <c r="G14" i="17" s="1"/>
  <c r="H14" i="17" l="1"/>
  <c r="D15" i="17"/>
  <c r="H15" i="17" l="1"/>
  <c r="G15" i="17"/>
  <c r="D16" i="17"/>
  <c r="G16" i="17" l="1"/>
  <c r="H16" i="17"/>
  <c r="D17" i="17"/>
  <c r="H17" i="17" l="1"/>
  <c r="G17" i="17"/>
  <c r="D18" i="17" l="1"/>
  <c r="H18" i="17" l="1"/>
  <c r="G18" i="17"/>
  <c r="D19" i="17" l="1"/>
  <c r="G19" i="17" l="1"/>
  <c r="H19" i="17"/>
  <c r="D20" i="17"/>
  <c r="G20" i="17" l="1"/>
  <c r="H20" i="17"/>
  <c r="D21" i="17" l="1"/>
  <c r="G21" i="17" l="1"/>
  <c r="H21" i="17"/>
  <c r="D22" i="17"/>
  <c r="G22" i="17" l="1"/>
  <c r="H22" i="17"/>
  <c r="D23" i="17"/>
  <c r="H23" i="17" l="1"/>
  <c r="G23" i="17"/>
  <c r="J44" i="17"/>
  <c r="D24" i="17" l="1"/>
  <c r="G24" i="17" l="1"/>
  <c r="H24" i="17"/>
  <c r="D25" i="17"/>
  <c r="G25" i="17" s="1"/>
  <c r="H25" i="17" l="1"/>
  <c r="D26" i="17"/>
  <c r="D44" i="17" s="1"/>
  <c r="G44" i="17" l="1"/>
  <c r="H44" i="17"/>
  <c r="H26" i="17"/>
  <c r="G26" i="17"/>
  <c r="D27" i="17"/>
  <c r="H27" i="17" l="1"/>
  <c r="G27" i="17"/>
  <c r="D28" i="17"/>
  <c r="D29" i="17"/>
  <c r="H29" i="17" l="1"/>
  <c r="G29" i="17"/>
  <c r="H28" i="17"/>
  <c r="G28" i="17"/>
  <c r="D30" i="17" l="1"/>
  <c r="D31" i="17" l="1"/>
  <c r="H30" i="17"/>
  <c r="G30" i="17"/>
  <c r="D32" i="17" l="1"/>
  <c r="H31" i="17"/>
  <c r="G31" i="17"/>
  <c r="J45" i="17"/>
  <c r="H32" i="17" l="1"/>
  <c r="G32" i="17"/>
  <c r="D45" i="17"/>
  <c r="D33" i="17"/>
  <c r="S2" i="22" s="1"/>
  <c r="J46" i="17"/>
  <c r="G33" i="17" l="1"/>
  <c r="H33" i="17"/>
  <c r="D34" i="17"/>
  <c r="G45" i="17"/>
  <c r="H45" i="17"/>
  <c r="G34" i="17" l="1"/>
  <c r="H34" i="17"/>
  <c r="D35" i="17" l="1"/>
  <c r="D36" i="17"/>
  <c r="J47" i="17" l="1"/>
  <c r="J48" i="17" s="1"/>
  <c r="H36" i="17"/>
  <c r="P2" i="22"/>
  <c r="G36" i="17"/>
  <c r="D37" i="17"/>
  <c r="D38" i="17"/>
  <c r="J49" i="17"/>
  <c r="J50" i="17" s="1"/>
  <c r="K50" i="17" s="1"/>
  <c r="L50" i="17" s="1"/>
  <c r="M50" i="17" s="1"/>
  <c r="N50" i="17" s="1"/>
  <c r="O50" i="17" s="1"/>
  <c r="P50" i="17" s="1"/>
  <c r="Q50" i="17" s="1"/>
  <c r="R50" i="17" s="1"/>
  <c r="S50" i="17" s="1"/>
  <c r="T50" i="17" s="1"/>
  <c r="U50" i="17" s="1"/>
  <c r="H35" i="17"/>
  <c r="G35" i="17"/>
  <c r="D46" i="17"/>
  <c r="D39" i="17" l="1"/>
  <c r="D47" i="17" s="1"/>
  <c r="D48" i="17" s="1"/>
  <c r="G48" i="17" s="1"/>
  <c r="H38" i="17"/>
  <c r="G38" i="17"/>
  <c r="H46" i="17"/>
  <c r="G46" i="17"/>
  <c r="G37" i="17"/>
  <c r="H37" i="17"/>
  <c r="G47" i="17" l="1"/>
  <c r="H47" i="17"/>
  <c r="H48" i="17" s="1"/>
  <c r="H39" i="17"/>
  <c r="G39" i="17"/>
  <c r="D49" i="17"/>
  <c r="D7" i="22"/>
  <c r="G7" i="22" s="1"/>
  <c r="J51" i="17" s="1"/>
  <c r="K51" i="17" s="1"/>
  <c r="L51" i="17" s="1"/>
  <c r="M51" i="17" s="1"/>
  <c r="N51" i="17" s="1"/>
  <c r="O51" i="17" s="1"/>
  <c r="P51" i="17" s="1"/>
  <c r="Q51" i="17" s="1"/>
  <c r="R51" i="17" s="1"/>
  <c r="S51" i="17" s="1"/>
  <c r="T51" i="17" s="1"/>
  <c r="U51" i="17" s="1"/>
  <c r="J7" i="22" l="1"/>
  <c r="H49" i="17"/>
  <c r="G49" i="17"/>
  <c r="M7" i="22" l="1"/>
  <c r="V2" i="22" s="1"/>
  <c r="G2" i="22"/>
</calcChain>
</file>

<file path=xl/sharedStrings.xml><?xml version="1.0" encoding="utf-8"?>
<sst xmlns="http://schemas.openxmlformats.org/spreadsheetml/2006/main" count="197" uniqueCount="103">
  <si>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</si>
  <si>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</si>
  <si>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</si>
  <si>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</si>
  <si>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</si>
  <si>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</si>
  <si>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</si>
  <si>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</si>
  <si>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</si>
  <si>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</si>
  <si>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</si>
  <si>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</si>
  <si>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</si>
  <si>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</si>
  <si>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</si>
  <si>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</si>
  <si>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</si>
  <si>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</si>
  <si>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</si>
  <si>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</si>
  <si>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</si>
  <si>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</si>
  <si>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</si>
  <si>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</si>
  <si>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</si>
  <si>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</si>
  <si>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</si>
  <si>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</si>
  <si>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</si>
  <si>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</si>
  <si>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</si>
  <si>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</si>
  <si>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</si>
  <si>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</si>
  <si>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</si>
  <si>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</si>
  <si>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</si>
  <si>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</si>
  <si>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</si>
  <si>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</si>
  <si>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</si>
  <si>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</si>
  <si>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</si>
  <si>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</si>
  <si>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</si>
  <si>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</si>
  <si>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</si>
  <si>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</si>
  <si>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</si>
  <si>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</si>
  <si>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</si>
  <si>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</si>
  <si>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</si>
  <si>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</si>
  <si>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</si>
  <si>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</si>
  <si>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</si>
  <si>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</si>
  <si>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</si>
  <si>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</si>
  <si>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</si>
  <si>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</si>
  <si>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</si>
  <si>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</si>
  <si>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</si>
  <si>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</si>
  <si>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</si>
  <si>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</si>
  <si>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</si>
  <si>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</si>
  <si>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</si>
  <si>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</si>
  <si>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</si>
  <si>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</si>
  <si>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</si>
  <si>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</si>
  <si>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</si>
  <si>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</si>
  <si>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</si>
  <si>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</si>
  <si>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</si>
  <si>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</si>
  <si>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</si>
  <si>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</si>
  <si>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</si>
  <si>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</si>
  <si>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</si>
  <si>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</si>
  <si>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</si>
  <si>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</si>
  <si>
    <t>Stocks BUY</t>
  </si>
  <si>
    <t>Stocks SELL</t>
  </si>
  <si>
    <t>Insurance 1</t>
  </si>
  <si>
    <t>Insurance 2</t>
  </si>
  <si>
    <t>Investment 2</t>
  </si>
  <si>
    <t>Investment 1</t>
  </si>
  <si>
    <t>Car Insurance</t>
  </si>
  <si>
    <t>Pension SELL</t>
  </si>
  <si>
    <t>Pension BUY</t>
  </si>
  <si>
    <t>ipad</t>
  </si>
  <si>
    <t>lidl</t>
  </si>
  <si>
    <t>H&amp;M</t>
  </si>
  <si>
    <t>Total Saving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</si>
</sst>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0" fontId="8" fillId="12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165" fontId="7" fillId="11" borderId="0" xfId="2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</cellXfs>
  <cellStyles count="6">
    <cellStyle name="Akzent1" xfId="3" builtinId="29"/>
    <cellStyle name="Ergebnis" xfId="1" builtinId="25"/>
    <cellStyle name="Gut" xfId="4" builtinId="26"/>
    <cellStyle name="Neutral" xfId="2" builtinId="28"/>
    <cellStyle name="Schlecht" xfId="5" builtinId="27"/>
    <cellStyle name="Standard" xfId="0" builtinId="0"/>
  </cellStyles>
  <dxfs count="57">
    <dxf>
      <numFmt numFmtId="14" formatCode="0.00%"/>
    </dxf>
    <dxf>
      <numFmt numFmtId="14" formatCode="0.00%"/>
    </dxf>
    <dxf>
      <numFmt numFmtId="167" formatCode="0.00\€"/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numFmt numFmtId="167" formatCode="0.00\€"/>
    </dxf>
    <dxf>
      <numFmt numFmtId="167" formatCode="0.00\€"/>
    </dxf>
    <dxf>
      <numFmt numFmtId="167" formatCode="0.00\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Annual!$G$2:$G$39</c15:sqref>
                  </c15:fullRef>
                </c:ext>
              </c:extLst>
              <c:f>Annual!$G$4:$G$39</c:f>
              <c:numCache>
                <c:formatCode>0.00%</c:formatCode>
                <c:ptCount val="36"/>
                <c:pt idx="0">
                  <c:v>0</c:v>
                </c:pt>
                <c:pt idx="1">
                  <c:v>5.8333333333333334E-2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0.13886111111111113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0.96944444444444444</c:v>
                </c:pt>
                <c:pt idx="21">
                  <c:v>0</c:v>
                </c:pt>
                <c:pt idx="22">
                  <c:v>0</c:v>
                </c:pt>
                <c:pt idx="23">
                  <c:v>8.3333333333333329E-2</c:v>
                </c:pt>
                <c:pt idx="24">
                  <c:v>8.3333333333333329E-2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8.3333333333333329E-2</c:v>
                </c:pt>
                <c:pt idx="30">
                  <c:v>0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8.3333333333333329E-2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Annual!$AA$2:$AA$39</c15:sqref>
                  </c15:fullRef>
                </c:ext>
              </c:extLst>
              <c:f>Annual!$AA$4:$AA$39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Annual!$J$42:$U$42</c:f>
              <c:numCache>
                <c:formatCode>General</c:formatCode>
                <c:ptCount val="12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General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Annual!$J$46:$U$46</c:f>
              <c:numCache>
                <c:formatCode>General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General</c:formatCode>
                <c:ptCount val="12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Annual!$J$47:$U$47</c:f>
              <c:numCache>
                <c:formatCode>General</c:formatCode>
                <c:ptCount val="12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(Annual!$B$62,Annual!$B$62,Annual!$B$62,Annual!$B$62,Annual!$B$62,Annual!$B$62,Annual!$B$62,Annual!$B$62,Annual!$B$62,Annual!$B$62,Annual!$B$62,Annual!$B$62)</c:f>
              <c:numCache>
                <c:formatCode>General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Annual!$C$49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Annual!$J$49:$U$49</c:f>
              <c:numCache>
                <c:formatCode>General</c:formatCode>
                <c:ptCount val="12"/>
                <c:pt idx="0">
                  <c:v>656.01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(Annual!$B$63,Annual!$B$63,Annual!$B$63,Annual!$B$63,Annual!$B$63,Annual!$B$63,Annual!$B$63,Annual!$B$63,Annual!$B$63,Annual!$B$63,Annual!$B$63,Annual!$B$63)</c:f>
              <c:numCache>
                <c:formatCode>General</c:formatCode>
                <c:ptCount val="12"/>
                <c:pt idx="0">
                  <c:v>118.97000000000003</c:v>
                </c:pt>
                <c:pt idx="1">
                  <c:v>118.97000000000003</c:v>
                </c:pt>
                <c:pt idx="2">
                  <c:v>118.97000000000003</c:v>
                </c:pt>
                <c:pt idx="3">
                  <c:v>118.97000000000003</c:v>
                </c:pt>
                <c:pt idx="4">
                  <c:v>118.97000000000003</c:v>
                </c:pt>
                <c:pt idx="5">
                  <c:v>118.97000000000003</c:v>
                </c:pt>
                <c:pt idx="6">
                  <c:v>118.97000000000003</c:v>
                </c:pt>
                <c:pt idx="7">
                  <c:v>118.97000000000003</c:v>
                </c:pt>
                <c:pt idx="8">
                  <c:v>118.97000000000003</c:v>
                </c:pt>
                <c:pt idx="9">
                  <c:v>118.97000000000003</c:v>
                </c:pt>
                <c:pt idx="10">
                  <c:v>118.97000000000003</c:v>
                </c:pt>
                <c:pt idx="11">
                  <c:v>118.97000000000003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Annual!$I$50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Annual!$J$50:$U$50</c:f>
              <c:numCache>
                <c:formatCode>General</c:formatCode>
                <c:ptCount val="12"/>
                <c:pt idx="0">
                  <c:v>656.01</c:v>
                </c:pt>
                <c:pt idx="1">
                  <c:v>656.01</c:v>
                </c:pt>
                <c:pt idx="2">
                  <c:v>656.01</c:v>
                </c:pt>
                <c:pt idx="3">
                  <c:v>656.01</c:v>
                </c:pt>
                <c:pt idx="4">
                  <c:v>656.01</c:v>
                </c:pt>
                <c:pt idx="5">
                  <c:v>656.01</c:v>
                </c:pt>
                <c:pt idx="6">
                  <c:v>656.01</c:v>
                </c:pt>
                <c:pt idx="7">
                  <c:v>656.01</c:v>
                </c:pt>
                <c:pt idx="8">
                  <c:v>656.01</c:v>
                </c:pt>
                <c:pt idx="9">
                  <c:v>656.01</c:v>
                </c:pt>
                <c:pt idx="10">
                  <c:v>656.01</c:v>
                </c:pt>
                <c:pt idx="11">
                  <c:v>656.01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Annual!$I$51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Annual!$J$51:$U$51</c:f>
              <c:numCache>
                <c:formatCode>General</c:formatCode>
                <c:ptCount val="12"/>
                <c:pt idx="0">
                  <c:v>656.01</c:v>
                </c:pt>
                <c:pt idx="1">
                  <c:v>1312.02</c:v>
                </c:pt>
                <c:pt idx="2">
                  <c:v>1968.03</c:v>
                </c:pt>
                <c:pt idx="3">
                  <c:v>2624.04</c:v>
                </c:pt>
                <c:pt idx="4">
                  <c:v>3280.05</c:v>
                </c:pt>
                <c:pt idx="5">
                  <c:v>3936.0600000000004</c:v>
                </c:pt>
                <c:pt idx="6">
                  <c:v>4592.0700000000006</c:v>
                </c:pt>
                <c:pt idx="7">
                  <c:v>5248.0800000000008</c:v>
                </c:pt>
                <c:pt idx="8">
                  <c:v>5904.0900000000011</c:v>
                </c:pt>
                <c:pt idx="9">
                  <c:v>6560.1000000000013</c:v>
                </c:pt>
                <c:pt idx="10">
                  <c:v>7216.1100000000015</c:v>
                </c:pt>
                <c:pt idx="11">
                  <c:v>7872.1200000000017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Annual!$I$52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Annual!$J$52:$U$52</c:f>
              <c:numCache>
                <c:formatCode>General</c:formatCode>
                <c:ptCount val="12"/>
                <c:pt idx="0">
                  <c:v>118.97000000000003</c:v>
                </c:pt>
                <c:pt idx="1">
                  <c:v>237.94000000000005</c:v>
                </c:pt>
                <c:pt idx="2">
                  <c:v>356.91000000000008</c:v>
                </c:pt>
                <c:pt idx="3">
                  <c:v>475.88000000000011</c:v>
                </c:pt>
                <c:pt idx="4">
                  <c:v>594.85000000000014</c:v>
                </c:pt>
                <c:pt idx="5">
                  <c:v>713.82000000000016</c:v>
                </c:pt>
                <c:pt idx="6">
                  <c:v>832.79000000000019</c:v>
                </c:pt>
                <c:pt idx="7">
                  <c:v>951.76000000000022</c:v>
                </c:pt>
                <c:pt idx="8">
                  <c:v>1070.7300000000002</c:v>
                </c:pt>
                <c:pt idx="9">
                  <c:v>1189.7000000000003</c:v>
                </c:pt>
                <c:pt idx="10">
                  <c:v>1308.6700000000003</c:v>
                </c:pt>
                <c:pt idx="11">
                  <c:v>1427.6400000000003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Annual!$J$41:$U$41</c:f>
              <c:numCache>
                <c:formatCode>General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General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Annual!$C$48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Annual!$J$48:$U$48</c:f>
              <c:numCache>
                <c:formatCode>General</c:formatCode>
                <c:ptCount val="12"/>
                <c:pt idx="0">
                  <c:v>1343.99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Annual!$J$41:$U$41</c:f>
              <c:numCache>
                <c:formatCode>General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Annual!$J$43:$U$43</c:f>
              <c:numCache>
                <c:formatCode>General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General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Annual!$J$44:$U$44</c:f>
              <c:numCache>
                <c:formatCode>General</c:formatCode>
                <c:ptCount val="12"/>
                <c:pt idx="0">
                  <c:v>398.99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General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Annual!$J$45:$U$45</c:f>
              <c:numCache>
                <c:formatCode>General</c:formatCode>
                <c:ptCount val="12"/>
                <c:pt idx="0">
                  <c:v>225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General</c:formatCode>
                <c:ptCount val="12"/>
                <c:pt idx="0">
                  <c:v>355.02</c:v>
                </c:pt>
                <c:pt idx="1">
                  <c:v>355.02</c:v>
                </c:pt>
                <c:pt idx="2">
                  <c:v>355.02</c:v>
                </c:pt>
                <c:pt idx="3">
                  <c:v>355.02</c:v>
                </c:pt>
                <c:pt idx="4">
                  <c:v>355.02</c:v>
                </c:pt>
                <c:pt idx="5">
                  <c:v>355.02</c:v>
                </c:pt>
                <c:pt idx="6">
                  <c:v>355.02</c:v>
                </c:pt>
                <c:pt idx="7">
                  <c:v>355.02</c:v>
                </c:pt>
                <c:pt idx="8">
                  <c:v>355.02</c:v>
                </c:pt>
                <c:pt idx="9">
                  <c:v>355.02</c:v>
                </c:pt>
                <c:pt idx="10">
                  <c:v>355.02</c:v>
                </c:pt>
                <c:pt idx="11">
                  <c:v>355.02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(Annual!$E$41:$E$47,Annual!$E$49)</c15:sqref>
                  </c15:fullRef>
                </c:ext>
              </c:extLst>
              <c:f>(Annual!$E$42:$E$47,Annual!$E$49)</c:f>
              <c:numCache>
                <c:formatCode>General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355.02</c:v>
                </c:pt>
                <c:pt idx="4">
                  <c:v>230</c:v>
                </c:pt>
                <c:pt idx="5">
                  <c:v>245</c:v>
                </c:pt>
                <c:pt idx="6">
                  <c:v>118.97000000000003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(Annual!$H$41:$H$47,Annual!$H$49)</c15:sqref>
                  </c15:fullRef>
                </c:ext>
              </c:extLst>
              <c:f>(Annual!$H$42:$H$47,Annual!$H$49)</c:f>
              <c:numCache>
                <c:formatCode>General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01-4AA2-954E-F5AA5B29B4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01-4AA2-954E-F5AA5B29B4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01-4AA2-954E-F5AA5B29B4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01-4AA2-954E-F5AA5B29B4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01-4AA2-954E-F5AA5B29B4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01-4AA2-954E-F5AA5B29B4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01-4AA2-954E-F5AA5B29B45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(Annual!$H$42:$H$47,Annual!$H$49)</c:f>
              <c:numCache>
                <c:formatCode>General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1-4AA2-954E-F5AA5B29B4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0.16905714285714285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0.10952380952380952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Annual!$C$62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Annual!$C$63</c:f>
              <c:numCache>
                <c:formatCode>0.00%</c:formatCode>
                <c:ptCount val="1"/>
                <c:pt idx="0">
                  <c:v>5.6652380952380968E-2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Annual!$A$56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Annual!$C$56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General</c:formatCode>
                <c:ptCount val="34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49.99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349</c:v>
                </c:pt>
                <c:pt idx="21">
                  <c:v>0</c:v>
                </c:pt>
                <c:pt idx="22">
                  <c:v>0</c:v>
                </c:pt>
                <c:pt idx="23">
                  <c:v>150</c:v>
                </c:pt>
                <c:pt idx="24">
                  <c:v>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  <c:pt idx="30">
                  <c:v>0</c:v>
                </c:pt>
                <c:pt idx="31">
                  <c:v>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General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150</c:v>
                </c:pt>
                <c:pt idx="24">
                  <c:v>75</c:v>
                </c:pt>
                <c:pt idx="25">
                  <c:v>0.01</c:v>
                </c:pt>
                <c:pt idx="26">
                  <c:v>100</c:v>
                </c:pt>
                <c:pt idx="27">
                  <c:v>0.01</c:v>
                </c:pt>
                <c:pt idx="28">
                  <c:v>30</c:v>
                </c:pt>
                <c:pt idx="29">
                  <c:v>100</c:v>
                </c:pt>
                <c:pt idx="30">
                  <c:v>30</c:v>
                </c:pt>
                <c:pt idx="31">
                  <c:v>50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1">
                  <c:v>0</c:v>
                </c:pt>
                <c:pt idx="2">
                  <c:v>2000</c:v>
                </c:pt>
                <c:pt idx="3">
                  <c:v>70</c:v>
                </c:pt>
                <c:pt idx="4">
                  <c:v>300</c:v>
                </c:pt>
                <c:pt idx="5">
                  <c:v>398.99</c:v>
                </c:pt>
                <c:pt idx="6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1">
                  <c:v>0</c:v>
                </c:pt>
                <c:pt idx="2">
                  <c:v>2100</c:v>
                </c:pt>
                <c:pt idx="3">
                  <c:v>320.01</c:v>
                </c:pt>
                <c:pt idx="4">
                  <c:v>356</c:v>
                </c:pt>
                <c:pt idx="5">
                  <c:v>475</c:v>
                </c:pt>
                <c:pt idx="6">
                  <c:v>355.02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0D-442B-B4C5-4F63F53A3CA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2F-48D6-958E-BE7ACC1544CB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0D-442B-B4C5-4F63F53A3CA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0D-442B-B4C5-4F63F53A3CA4}"/>
              </c:ext>
            </c:extLst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2F-48D6-958E-BE7ACC1544CB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Main Category</c:v>
                </c:pt>
                <c:pt idx="1">
                  <c:v>Income</c:v>
                </c:pt>
                <c:pt idx="2">
                  <c:v>Food</c:v>
                </c:pt>
                <c:pt idx="3">
                  <c:v>Living</c:v>
                </c:pt>
                <c:pt idx="4">
                  <c:v>Personal</c:v>
                </c:pt>
                <c:pt idx="5">
                  <c:v>Transport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70</c:v>
                </c:pt>
                <c:pt idx="3">
                  <c:v>300</c:v>
                </c:pt>
                <c:pt idx="4">
                  <c:v>398.99</c:v>
                </c:pt>
                <c:pt idx="5">
                  <c:v>225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124-4E40-BE42-9B25CDEC2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19050</xdr:rowOff>
    </xdr:from>
    <xdr:to>
      <xdr:col>4</xdr:col>
      <xdr:colOff>1095375</xdr:colOff>
      <xdr:row>80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8</xdr:col>
          <xdr:colOff>22860</xdr:colOff>
          <xdr:row>2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182880</xdr:rowOff>
        </xdr:from>
        <xdr:to>
          <xdr:col>10</xdr:col>
          <xdr:colOff>495300</xdr:colOff>
          <xdr:row>2</xdr:row>
          <xdr:rowOff>175260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66676</xdr:colOff>
      <xdr:row>0</xdr:row>
      <xdr:rowOff>0</xdr:rowOff>
    </xdr:from>
    <xdr:to>
      <xdr:col>13</xdr:col>
      <xdr:colOff>628650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666750</xdr:colOff>
      <xdr:row>0</xdr:row>
      <xdr:rowOff>0</xdr:rowOff>
    </xdr:from>
    <xdr:to>
      <xdr:col>19</xdr:col>
      <xdr:colOff>495300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AnnualReport" displayName="Table_AnnualReport" ref="A1:H39" headerRowDxfId="56" dataDxfId="55">
  <autoFilter ref="A1:H39" xr:uid="{00000000-0009-0000-0100-000004000000}"/>
  <tableColumns count="8">
    <tableColumn id="1" xr3:uid="{00000000-0010-0000-0000-000001000000}" name="Income/Expense"/>
    <tableColumn id="2" xr3:uid="{00000000-0010-0000-0000-000002000000}" name="Main Category" dataDxfId="54"/>
    <tableColumn id="3" xr3:uid="{00000000-0010-0000-0000-000003000000}" name="Sub-Category" dataDxfId="53"/>
    <tableColumn id="4" xr3:uid="{00000000-0010-0000-0000-000004000000}" name="Actual" dataDxfId="52"/>
    <tableColumn id="7" xr3:uid="{00000000-0010-0000-0000-000007000000}" name="Monthly Budget" dataDxfId="51"/>
    <tableColumn id="5" xr3:uid="{00000000-0010-0000-0000-000005000000}" name="Annual Budget" dataDxfId="50"/>
    <tableColumn id="9" xr3:uid="{00000000-0010-0000-0000-000009000000}" name="Actual/AB" dataDxfId="49">
      <calculatedColumnFormula>Table_AnnualReport[[#This Row],[Actual]]/Table_AnnualReport[[#This Row],[Annual Budget]]</calculatedColumnFormula>
    </tableColumn>
    <tableColumn id="8" xr3:uid="{00000000-0010-0000-0000-000008000000}" name="Monthly Avg" dataDxfId="4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ActualExpenseMonth" displayName="Table_ActualExpenseMonth" ref="J1:U39" headerRowDxfId="47">
  <autoFilter ref="J1:U39" xr:uid="{00000000-0009-0000-0100-000007000000}"/>
  <tableColumns count="12">
    <tableColumn id="1" xr3:uid="{00000000-0010-0000-0100-000001000000}" name="January">
      <calculatedColumnFormula>January!D2</calculatedColumnFormula>
    </tableColumn>
    <tableColumn id="2" xr3:uid="{00000000-0010-0000-0100-000002000000}" name="February"/>
    <tableColumn id="3" xr3:uid="{00000000-0010-0000-0100-000003000000}" name="March"/>
    <tableColumn id="4" xr3:uid="{00000000-0010-0000-0100-000004000000}" name="April"/>
    <tableColumn id="5" xr3:uid="{00000000-0010-0000-0100-000005000000}" name="May"/>
    <tableColumn id="6" xr3:uid="{00000000-0010-0000-0100-000006000000}" name="June"/>
    <tableColumn id="7" xr3:uid="{00000000-0010-0000-0100-000007000000}" name="July" dataDxfId="46">
      <calculatedColumnFormula>#REF!</calculatedColumnFormula>
    </tableColumn>
    <tableColumn id="8" xr3:uid="{00000000-0010-0000-0100-000008000000}" name="August">
      <calculatedColumnFormula>#REF!</calculatedColumnFormula>
    </tableColumn>
    <tableColumn id="9" xr3:uid="{00000000-0010-0000-0100-000009000000}" name="September">
      <calculatedColumnFormula>#REF!</calculatedColumnFormula>
    </tableColumn>
    <tableColumn id="10" xr3:uid="{00000000-0010-0000-0100-00000A000000}" name="October" dataDxfId="45">
      <calculatedColumnFormula>#REF!</calculatedColumnFormula>
    </tableColumn>
    <tableColumn id="11" xr3:uid="{00000000-0010-0000-0100-00000B000000}" name="November" dataDxfId="44">
      <calculatedColumnFormula>#REF!</calculatedColumnFormula>
    </tableColumn>
    <tableColumn id="12" xr3:uid="{00000000-0010-0000-0100-00000C000000}" name="December" dataDxfId="4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le12" displayName="Tabelle12" ref="A55:C63" totalsRowShown="0" headerRowDxfId="42">
  <autoFilter ref="A55:C63" xr:uid="{00000000-0009-0000-0100-00000C000000}"/>
  <tableColumns count="3">
    <tableColumn id="1" xr3:uid="{00000000-0010-0000-0200-000001000000}" name="Main Category" dataDxfId="41"/>
    <tableColumn id="2" xr3:uid="{00000000-0010-0000-0200-000002000000}" name="Budget" dataDxfId="40"/>
    <tableColumn id="3" xr3:uid="{00000000-0010-0000-0200-000003000000}" name="Budget/Income" dataDxfId="3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_Transactions" displayName="Table_Transactions" ref="A1:D73">
  <autoFilter ref="A1:D73" xr:uid="{00000000-0009-0000-0100-000006000000}"/>
  <tableColumns count="4">
    <tableColumn id="4" xr3:uid="{00000000-0010-0000-0300-000004000000}" name="Date" dataDxfId="38"/>
    <tableColumn id="1" xr3:uid="{00000000-0010-0000-0300-000001000000}" name="Transactions" totalsRowLabel="Ergebnis"/>
    <tableColumn id="2" xr3:uid="{00000000-0010-0000-0300-000002000000}" name="Amount" dataDxfId="37"/>
    <tableColumn id="3" xr3:uid="{00000000-0010-0000-0300-000003000000}" name="Remark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99689-A848-4B4F-AB1F-443091CBD5BC}" name="Table_MonthlyReport" displayName="Table_MonthlyReport" ref="A1:F39" totalsRowShown="0" headerRowDxfId="29" headerRowBorderDxfId="35" tableBorderDxfId="36">
  <autoFilter ref="A1:F39" xr:uid="{777A7CB9-B583-482F-8100-3DCC235EB3CE}"/>
  <tableColumns count="6">
    <tableColumn id="1" xr3:uid="{19F65E7E-B926-4705-A926-E2B230B4FD75}" name="Income/Expense" dataDxfId="34"/>
    <tableColumn id="2" xr3:uid="{69982484-773E-47AD-8BC1-5D6F57C256E6}" name="Main Category" dataDxfId="33"/>
    <tableColumn id="3" xr3:uid="{DA70CAFC-C9BD-4BE5-AFE1-DCB2C9E521A9}" name="Sub-Category" dataDxfId="32"/>
    <tableColumn id="4" xr3:uid="{5041CA0D-0558-468B-B70E-CEC6FC6886D3}" name="Actual" dataDxfId="31"/>
    <tableColumn id="5" xr3:uid="{E567F311-E118-4B70-92F5-08F704D04CB6}" name="Monthly Budget" dataDxfId="30"/>
    <tableColumn id="6" xr3:uid="{81A83B08-F856-49C4-9B0B-E42DCF42A5B5}" name="Difference" dataDxfId="2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86B241-7343-4910-86C8-664BE8CE729D}" name="Table_Summary" displayName="Table_Summary" ref="A41:F49" totalsRowShown="0" headerRowDxfId="25">
  <autoFilter ref="A41:F49" xr:uid="{0940EF9C-B068-4FEA-AFE8-81A9032E43DA}"/>
  <tableColumns count="6">
    <tableColumn id="1" xr3:uid="{817863CB-A609-44D9-B96A-514F0C68BD19}" name="Main Category"/>
    <tableColumn id="2" xr3:uid="{8EE7A73C-87C8-4FB4-BF95-778AD5B0F7B2}" name="Actual" dataDxfId="27"/>
    <tableColumn id="3" xr3:uid="{61A0B90E-66BF-413F-9677-C6346E7B958A}" name="Budget" dataDxfId="26"/>
    <tableColumn id="4" xr3:uid="{ADF22657-F362-462E-986A-23DA82A6F1C3}" name="Difference" dataDxfId="2"/>
    <tableColumn id="5" xr3:uid="{65B96605-4353-46D1-BB69-B937B66A2C9F}" name="MC/Expense" dataDxfId="1"/>
    <tableColumn id="6" xr3:uid="{76A6827B-EDA2-4F40-AEE7-D38A1667606F}" name="Budget/Inc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3"/>
  <dimension ref="A1:W8"/>
  <sheetViews>
    <sheetView tabSelected="1" zoomScale="80" zoomScaleNormal="80" workbookViewId="0">
      <selection activeCell="U30" sqref="U30"/>
    </sheetView>
  </sheetViews>
  <sheetFormatPr baseColWidth="10" defaultColWidth="11.44140625" defaultRowHeight="14.4" x14ac:dyDescent="0.3"/>
  <sheetData>
    <row r="1" spans="1:23" x14ac:dyDescent="0.3">
      <c r="A1" s="105" t="s">
        <v>78</v>
      </c>
      <c r="B1" s="105"/>
      <c r="D1" s="105" t="s">
        <v>79</v>
      </c>
      <c r="E1" s="105"/>
      <c r="G1" s="105" t="s">
        <v>72</v>
      </c>
      <c r="H1" s="105"/>
      <c r="J1" s="105" t="s">
        <v>84</v>
      </c>
      <c r="K1" s="105"/>
      <c r="M1" s="105" t="s">
        <v>67</v>
      </c>
      <c r="N1" s="105"/>
      <c r="P1" s="105" t="s">
        <v>90</v>
      </c>
      <c r="Q1" s="105"/>
      <c r="S1" s="105" t="s">
        <v>98</v>
      </c>
      <c r="T1" s="105"/>
      <c r="V1" s="105" t="s">
        <v>102</v>
      </c>
      <c r="W1" s="105"/>
    </row>
    <row r="2" spans="1:23" x14ac:dyDescent="0.3">
      <c r="A2" s="107">
        <f>SUM(Annual!E2:E3)</f>
        <v>2100</v>
      </c>
      <c r="B2" s="107"/>
      <c r="D2" s="107">
        <f>SUM(Annual!E4:E39)</f>
        <v>1981.03</v>
      </c>
      <c r="E2" s="107"/>
      <c r="G2" s="107">
        <f>(J2-J7)/Annual!B52</f>
        <v>70.148181818182096</v>
      </c>
      <c r="H2" s="107"/>
      <c r="J2" s="107">
        <f>Annual!F49</f>
        <v>1427.6400000000031</v>
      </c>
      <c r="K2" s="107"/>
      <c r="M2" s="107">
        <v>1000</v>
      </c>
      <c r="N2" s="107"/>
      <c r="P2" s="107">
        <f>Annual!D36</f>
        <v>50</v>
      </c>
      <c r="Q2" s="107"/>
      <c r="S2" s="107">
        <f>Annual!D33</f>
        <v>100</v>
      </c>
      <c r="T2" s="107"/>
      <c r="V2" s="107">
        <f>M7+P7+S7</f>
        <v>1818.01</v>
      </c>
      <c r="W2" s="107"/>
    </row>
    <row r="3" spans="1:23" x14ac:dyDescent="0.3">
      <c r="A3" s="107"/>
      <c r="B3" s="107"/>
      <c r="D3" s="107"/>
      <c r="E3" s="107"/>
      <c r="G3" s="107"/>
      <c r="H3" s="107"/>
      <c r="J3" s="107"/>
      <c r="K3" s="107"/>
      <c r="M3" s="107"/>
      <c r="N3" s="107"/>
      <c r="P3" s="107"/>
      <c r="Q3" s="107"/>
      <c r="S3" s="107"/>
      <c r="T3" s="107"/>
      <c r="V3" s="107"/>
      <c r="W3" s="107"/>
    </row>
    <row r="4" spans="1:23" x14ac:dyDescent="0.3">
      <c r="G4" s="4"/>
      <c r="H4" s="4"/>
    </row>
    <row r="5" spans="1:23" x14ac:dyDescent="0.3">
      <c r="G5" s="4"/>
      <c r="H5" s="4"/>
    </row>
    <row r="6" spans="1:23" x14ac:dyDescent="0.3">
      <c r="A6" s="105" t="s">
        <v>76</v>
      </c>
      <c r="B6" s="105"/>
      <c r="D6" s="105" t="s">
        <v>77</v>
      </c>
      <c r="E6" s="105"/>
      <c r="G6" s="105" t="s">
        <v>66</v>
      </c>
      <c r="H6" s="105"/>
      <c r="J6" s="105" t="s">
        <v>65</v>
      </c>
      <c r="K6" s="105"/>
      <c r="M6" s="105" t="s">
        <v>68</v>
      </c>
      <c r="N6" s="105"/>
      <c r="P6" s="105" t="s">
        <v>91</v>
      </c>
      <c r="Q6" s="105"/>
      <c r="S6" s="105" t="s">
        <v>97</v>
      </c>
      <c r="T6" s="105"/>
    </row>
    <row r="7" spans="1:23" x14ac:dyDescent="0.3">
      <c r="A7" s="108">
        <f>SUM(Annual!D2:D3)/Annual!B51</f>
        <v>2000</v>
      </c>
      <c r="B7" s="108"/>
      <c r="D7" s="109">
        <f>SUM(Annual!D4:D39)/Annual!B51</f>
        <v>1343.99</v>
      </c>
      <c r="E7" s="109"/>
      <c r="G7" s="106">
        <f>A7-D7</f>
        <v>656.01</v>
      </c>
      <c r="H7" s="106"/>
      <c r="J7" s="106">
        <f>Annual!D49</f>
        <v>656.01</v>
      </c>
      <c r="K7" s="106"/>
      <c r="M7" s="106">
        <f>M2+J7</f>
        <v>1656.01</v>
      </c>
      <c r="N7" s="106"/>
      <c r="P7" s="106">
        <v>65</v>
      </c>
      <c r="Q7" s="106"/>
      <c r="R7" s="110">
        <f>P7-P2</f>
        <v>15</v>
      </c>
      <c r="S7" s="106">
        <v>97</v>
      </c>
      <c r="T7" s="106"/>
      <c r="U7" s="110">
        <f>S7-S2</f>
        <v>-3</v>
      </c>
    </row>
    <row r="8" spans="1:23" x14ac:dyDescent="0.3">
      <c r="A8" s="108"/>
      <c r="B8" s="108"/>
      <c r="D8" s="109"/>
      <c r="E8" s="109"/>
      <c r="G8" s="106"/>
      <c r="H8" s="106"/>
      <c r="J8" s="106"/>
      <c r="K8" s="106"/>
      <c r="M8" s="106"/>
      <c r="N8" s="106"/>
      <c r="P8" s="106"/>
      <c r="Q8" s="106"/>
      <c r="R8" s="111">
        <f>R7/P2</f>
        <v>0.3</v>
      </c>
      <c r="S8" s="106"/>
      <c r="T8" s="106"/>
      <c r="U8" s="111">
        <f>U7/S2</f>
        <v>-0.03</v>
      </c>
    </row>
  </sheetData>
  <mergeCells count="30">
    <mergeCell ref="V1:W1"/>
    <mergeCell ref="V2:W3"/>
    <mergeCell ref="P1:Q1"/>
    <mergeCell ref="P2:Q3"/>
    <mergeCell ref="P6:Q6"/>
    <mergeCell ref="P7:Q8"/>
    <mergeCell ref="S1:T1"/>
    <mergeCell ref="S2:T3"/>
    <mergeCell ref="S6:T6"/>
    <mergeCell ref="S7:T8"/>
    <mergeCell ref="M1:N1"/>
    <mergeCell ref="M2:N3"/>
    <mergeCell ref="M6:N6"/>
    <mergeCell ref="M7:N8"/>
    <mergeCell ref="J7:K8"/>
    <mergeCell ref="J1:K1"/>
    <mergeCell ref="J6:K6"/>
    <mergeCell ref="J2:K3"/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</mergeCells>
  <conditionalFormatting sqref="J7:K8">
    <cfRule type="cellIs" dxfId="24" priority="23" operator="lessThan">
      <formula>$J$2</formula>
    </cfRule>
    <cfRule type="cellIs" dxfId="23" priority="24" operator="greaterThanOrEqual">
      <formula>$J$2</formula>
    </cfRule>
  </conditionalFormatting>
  <conditionalFormatting sqref="G7:H8">
    <cfRule type="cellIs" dxfId="22" priority="15" operator="lessThan">
      <formula>$G$2</formula>
    </cfRule>
    <cfRule type="cellIs" dxfId="21" priority="16" operator="greaterThanOrEqual">
      <formula>$G$2</formula>
    </cfRule>
  </conditionalFormatting>
  <conditionalFormatting sqref="M7">
    <cfRule type="cellIs" dxfId="20" priority="31" operator="lessThan">
      <formula>$M$2+$J$2</formula>
    </cfRule>
    <cfRule type="cellIs" dxfId="19" priority="32" operator="greaterThanOrEqual">
      <formula>$M$2+$J$2</formula>
    </cfRule>
  </conditionalFormatting>
  <conditionalFormatting sqref="A7:B8">
    <cfRule type="cellIs" dxfId="18" priority="9" operator="lessThan">
      <formula>$A$2</formula>
    </cfRule>
    <cfRule type="cellIs" dxfId="17" priority="10" operator="greaterThanOrEqual">
      <formula>$A$2</formula>
    </cfRule>
  </conditionalFormatting>
  <conditionalFormatting sqref="D7:E8">
    <cfRule type="cellIs" dxfId="16" priority="7" operator="greaterThan">
      <formula>$D$2</formula>
    </cfRule>
    <cfRule type="cellIs" dxfId="15" priority="8" operator="lessThanOrEqual">
      <formula>$D$2</formula>
    </cfRule>
  </conditionalFormatting>
  <conditionalFormatting sqref="P7">
    <cfRule type="cellIs" dxfId="14" priority="5" operator="lessThan">
      <formula>$P$2</formula>
    </cfRule>
    <cfRule type="cellIs" dxfId="13" priority="6" operator="greaterThanOrEqual">
      <formula>$P$2</formula>
    </cfRule>
  </conditionalFormatting>
  <conditionalFormatting sqref="S7">
    <cfRule type="cellIs" dxfId="12" priority="3" operator="lessThan">
      <formula>$S$2</formula>
    </cfRule>
    <cfRule type="cellIs" dxfId="11" priority="4" operator="greaterThanOrEqual">
      <formula>$S$2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A71"/>
  <sheetViews>
    <sheetView zoomScale="80" zoomScaleNormal="80" workbookViewId="0">
      <pane xSplit="5" ySplit="1" topLeftCell="F8" activePane="bottomRight" state="frozen"/>
      <selection pane="topRight" activeCell="F1" sqref="F1"/>
      <selection pane="bottomLeft" activeCell="A2" sqref="A2"/>
      <selection pane="bottomRight"/>
    </sheetView>
  </sheetViews>
  <sheetFormatPr baseColWidth="10" defaultColWidth="11.44140625" defaultRowHeight="14.4" x14ac:dyDescent="0.3"/>
  <cols>
    <col min="1" max="1" width="18.33203125" bestFit="1" customWidth="1"/>
    <col min="2" max="2" width="16.33203125" bestFit="1" customWidth="1"/>
    <col min="3" max="3" width="20.33203125" bestFit="1" customWidth="1"/>
    <col min="4" max="4" width="11.5546875" style="36"/>
    <col min="5" max="5" width="17.6640625" style="36" bestFit="1" customWidth="1"/>
    <col min="6" max="6" width="16.44140625" style="36" bestFit="1" customWidth="1"/>
    <col min="7" max="7" width="12.6640625" style="36" customWidth="1"/>
    <col min="8" max="8" width="14.6640625" style="36" bestFit="1" customWidth="1"/>
    <col min="18" max="18" width="13.33203125" bestFit="1" customWidth="1"/>
    <col min="20" max="20" width="12.88671875" bestFit="1" customWidth="1"/>
    <col min="21" max="21" width="12.6640625" bestFit="1" customWidth="1"/>
    <col min="27" max="27" width="11.5546875" customWidth="1"/>
  </cols>
  <sheetData>
    <row r="1" spans="1:27" x14ac:dyDescent="0.3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56</v>
      </c>
      <c r="F1" s="28" t="s">
        <v>52</v>
      </c>
      <c r="G1" s="28" t="s">
        <v>88</v>
      </c>
      <c r="H1" s="28" t="s">
        <v>87</v>
      </c>
      <c r="J1" s="1" t="s">
        <v>82</v>
      </c>
      <c r="K1" s="1" t="s">
        <v>83</v>
      </c>
      <c r="L1" s="1" t="s">
        <v>58</v>
      </c>
      <c r="M1" s="1" t="s">
        <v>36</v>
      </c>
      <c r="N1" s="1" t="s">
        <v>42</v>
      </c>
      <c r="O1" s="1" t="s">
        <v>49</v>
      </c>
      <c r="P1" s="1" t="s">
        <v>57</v>
      </c>
      <c r="Q1" s="1" t="s">
        <v>59</v>
      </c>
      <c r="R1" s="1" t="s">
        <v>60</v>
      </c>
      <c r="S1" s="1" t="s">
        <v>61</v>
      </c>
      <c r="T1" s="1" t="s">
        <v>62</v>
      </c>
      <c r="U1" s="1" t="s">
        <v>63</v>
      </c>
      <c r="AA1" s="65">
        <v>1</v>
      </c>
    </row>
    <row r="2" spans="1:27" x14ac:dyDescent="0.3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Budget]]*B53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Row],[Actual]]/B51</f>
        <v>2000</v>
      </c>
      <c r="J2" s="29">
        <f>January!D2</f>
        <v>2000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AA2">
        <v>1</v>
      </c>
    </row>
    <row r="3" spans="1:27" x14ac:dyDescent="0.3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Budget]]*B53</f>
        <v>1200</v>
      </c>
      <c r="G3" s="8">
        <f>Table_AnnualReport[[#This Row],[Actual]]/Table_AnnualReport[[#This Row],[Annual Budget]]</f>
        <v>0</v>
      </c>
      <c r="H3" s="29">
        <f>Table_AnnualReport[[#This Row],[Actual]]/B51</f>
        <v>0</v>
      </c>
      <c r="J3" s="29">
        <f>January!D3</f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AA3">
        <v>1</v>
      </c>
    </row>
    <row r="4" spans="1:27" x14ac:dyDescent="0.3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Budget]]*B53</f>
        <v>1200</v>
      </c>
      <c r="G4" s="9">
        <f>Table_AnnualReport[[#This Row],[Actual]]/Table_AnnualReport[[#This Row],[Annual Budget]]</f>
        <v>0</v>
      </c>
      <c r="H4" s="30">
        <f>Table_AnnualReport[[#This Row],[Actual]]/B51</f>
        <v>0</v>
      </c>
      <c r="J4" s="30">
        <f>January!D4</f>
        <v>0</v>
      </c>
      <c r="K4" s="30">
        <v>0</v>
      </c>
      <c r="L4" s="30">
        <v>0</v>
      </c>
      <c r="M4" s="30">
        <v>0</v>
      </c>
      <c r="N4" s="30">
        <v>0</v>
      </c>
      <c r="O4" s="30"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AA4">
        <v>1</v>
      </c>
    </row>
    <row r="5" spans="1:27" x14ac:dyDescent="0.3">
      <c r="A5" s="26"/>
      <c r="B5" s="15"/>
      <c r="C5" s="15" t="s">
        <v>6</v>
      </c>
      <c r="D5" s="30">
        <f>SUM(Table_ActualExpenseMonth[#This Row])</f>
        <v>70</v>
      </c>
      <c r="E5" s="30">
        <v>100</v>
      </c>
      <c r="F5" s="30">
        <f>Table_AnnualReport[[#This Row],[Monthly Budget]]*B53</f>
        <v>1200</v>
      </c>
      <c r="G5" s="9">
        <f>Table_AnnualReport[[#This Row],[Actual]]/Table_AnnualReport[[#This Row],[Annual Budget]]</f>
        <v>5.8333333333333334E-2</v>
      </c>
      <c r="H5" s="30">
        <f>Table_AnnualReport[[#This Row],[Actual]]/B51</f>
        <v>70</v>
      </c>
      <c r="J5" s="30">
        <f>January!D5</f>
        <v>70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AA5" s="4">
        <v>1</v>
      </c>
    </row>
    <row r="6" spans="1:27" x14ac:dyDescent="0.3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Budget]]*B53</f>
        <v>240</v>
      </c>
      <c r="G6" s="9">
        <f>Table_AnnualReport[[#This Row],[Actual]]/Table_AnnualReport[[#This Row],[Annual Budget]]</f>
        <v>0</v>
      </c>
      <c r="H6" s="30">
        <f>Table_AnnualReport[[#This Row],[Actual]]/B51</f>
        <v>0</v>
      </c>
      <c r="J6" s="30">
        <f>January!D6</f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AA6" s="4">
        <v>1</v>
      </c>
    </row>
    <row r="7" spans="1:27" x14ac:dyDescent="0.3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Budget]]*B53</f>
        <v>1200</v>
      </c>
      <c r="G7" s="9">
        <f>Table_AnnualReport[[#This Row],[Actual]]/Table_AnnualReport[[#This Row],[Annual Budget]]</f>
        <v>0</v>
      </c>
      <c r="H7" s="30">
        <f>Table_AnnualReport[[#This Row],[Actual]]/B51</f>
        <v>0</v>
      </c>
      <c r="J7" s="30">
        <f>January!D7</f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AA7" s="4">
        <v>1</v>
      </c>
    </row>
    <row r="8" spans="1:27" x14ac:dyDescent="0.3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Budget]]*B53</f>
        <v>0.12</v>
      </c>
      <c r="G8" s="9">
        <f>Table_AnnualReport[[#This Row],[Actual]]/Table_AnnualReport[[#This Row],[Annual Budget]]</f>
        <v>0</v>
      </c>
      <c r="H8" s="30">
        <f>Table_AnnualReport[[#This Row],[Actual]]/B51</f>
        <v>0</v>
      </c>
      <c r="J8" s="30">
        <f>January!D8</f>
        <v>0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AA8" s="4">
        <v>1</v>
      </c>
    </row>
    <row r="9" spans="1:27" x14ac:dyDescent="0.3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Budget]]*B53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Row],[Actual]]/B51</f>
        <v>300</v>
      </c>
      <c r="J9" s="31">
        <f>January!D9</f>
        <v>300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AA9" s="4">
        <v>1</v>
      </c>
    </row>
    <row r="10" spans="1:27" x14ac:dyDescent="0.3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Budget]]*B53</f>
        <v>360</v>
      </c>
      <c r="G10" s="94">
        <f>Table_AnnualReport[[#This Row],[Actual]]/Table_AnnualReport[[#This Row],[Annual Budget]]</f>
        <v>0</v>
      </c>
      <c r="H10" s="31">
        <f>Table_AnnualReport[[#This Row],[Actual]]/B51</f>
        <v>0</v>
      </c>
      <c r="J10" s="31">
        <f>January!D10</f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AA10" s="4">
        <v>1</v>
      </c>
    </row>
    <row r="11" spans="1:27" x14ac:dyDescent="0.3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Budget]]*B53</f>
        <v>72</v>
      </c>
      <c r="G11" s="94">
        <f>Table_AnnualReport[[#This Row],[Actual]]/Table_AnnualReport[[#This Row],[Annual Budget]]</f>
        <v>0</v>
      </c>
      <c r="H11" s="31">
        <f>Table_AnnualReport[[#This Row],[Actual]]/B51</f>
        <v>0</v>
      </c>
      <c r="J11" s="31">
        <f>January!D11</f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AA11" s="4">
        <v>1</v>
      </c>
    </row>
    <row r="12" spans="1:27" x14ac:dyDescent="0.3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Budget]]*B53</f>
        <v>120</v>
      </c>
      <c r="G12" s="94">
        <f>Table_AnnualReport[[#This Row],[Actual]]/Table_AnnualReport[[#This Row],[Annual Budget]]</f>
        <v>0</v>
      </c>
      <c r="H12" s="31">
        <f>Table_AnnualReport[[#This Row],[Actual]]/B51</f>
        <v>0</v>
      </c>
      <c r="J12" s="31">
        <f>January!D12</f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AA12" s="4">
        <v>1</v>
      </c>
    </row>
    <row r="13" spans="1:27" x14ac:dyDescent="0.3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Budget]]*B53</f>
        <v>120</v>
      </c>
      <c r="G13" s="94">
        <f>Table_AnnualReport[[#This Row],[Actual]]/Table_AnnualReport[[#This Row],[Annual Budget]]</f>
        <v>0</v>
      </c>
      <c r="H13" s="31">
        <f>Table_AnnualReport[[#This Row],[Actual]]/B51</f>
        <v>0</v>
      </c>
      <c r="J13" s="31">
        <f>January!D13</f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AA13" s="4">
        <v>1</v>
      </c>
    </row>
    <row r="14" spans="1:27" x14ac:dyDescent="0.3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Budget]]*B53</f>
        <v>240</v>
      </c>
      <c r="G14" s="10">
        <f>Table_AnnualReport[[#This Row],[Actual]]/Table_AnnualReport[[#This Row],[Annual Budget]]</f>
        <v>0</v>
      </c>
      <c r="H14" s="32">
        <f>Table_AnnualReport[[#This Row],[Actual]]/B51</f>
        <v>0</v>
      </c>
      <c r="J14" s="32">
        <f>January!D14</f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AA14" s="4">
        <v>1</v>
      </c>
    </row>
    <row r="15" spans="1:27" x14ac:dyDescent="0.3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Budget]]*B53</f>
        <v>240</v>
      </c>
      <c r="G15" s="10">
        <f>Table_AnnualReport[[#This Row],[Actual]]/Table_AnnualReport[[#This Row],[Annual Budget]]</f>
        <v>0</v>
      </c>
      <c r="H15" s="32">
        <f>Table_AnnualReport[[#This Row],[Actual]]/B51</f>
        <v>0</v>
      </c>
      <c r="J15" s="32">
        <f>January!D15</f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AA15" s="4">
        <v>1</v>
      </c>
    </row>
    <row r="16" spans="1:27" x14ac:dyDescent="0.3">
      <c r="A16" s="26"/>
      <c r="B16" s="20"/>
      <c r="C16" s="19" t="s">
        <v>51</v>
      </c>
      <c r="D16" s="32">
        <f>SUM(Table_ActualExpenseMonth[#This Row])</f>
        <v>0</v>
      </c>
      <c r="E16" s="32">
        <v>10</v>
      </c>
      <c r="F16" s="32">
        <f>Table_AnnualReport[[#This Row],[Monthly Budget]]*B53</f>
        <v>120</v>
      </c>
      <c r="G16" s="10">
        <f>Table_AnnualReport[[#This Row],[Actual]]/Table_AnnualReport[[#This Row],[Annual Budget]]</f>
        <v>0</v>
      </c>
      <c r="H16" s="32">
        <f>Table_AnnualReport[[#This Row],[Actual]]/B51</f>
        <v>0</v>
      </c>
      <c r="J16" s="32">
        <f>January!D16</f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AA16" s="4">
        <v>1</v>
      </c>
    </row>
    <row r="17" spans="1:27" x14ac:dyDescent="0.3">
      <c r="A17" s="26"/>
      <c r="B17" s="20"/>
      <c r="C17" s="20" t="s">
        <v>9</v>
      </c>
      <c r="D17" s="32">
        <f>SUM(Table_ActualExpenseMonth[#This Row])</f>
        <v>49.99</v>
      </c>
      <c r="E17" s="32">
        <v>30</v>
      </c>
      <c r="F17" s="32">
        <f>Table_AnnualReport[[#This Row],[Monthly Budget]]*B53</f>
        <v>360</v>
      </c>
      <c r="G17" s="10">
        <f>Table_AnnualReport[[#This Row],[Actual]]/Table_AnnualReport[[#This Row],[Annual Budget]]</f>
        <v>0.13886111111111113</v>
      </c>
      <c r="H17" s="32">
        <f>Table_AnnualReport[[#This Row],[Actual]]/B51</f>
        <v>49.99</v>
      </c>
      <c r="J17" s="32">
        <f>January!D17</f>
        <v>49.99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AA17" s="4">
        <v>1</v>
      </c>
    </row>
    <row r="18" spans="1:27" x14ac:dyDescent="0.3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Budget]]*B53</f>
        <v>360</v>
      </c>
      <c r="G18" s="10">
        <f>Table_AnnualReport[[#This Row],[Actual]]/Table_AnnualReport[[#This Row],[Annual Budget]]</f>
        <v>0</v>
      </c>
      <c r="H18" s="32">
        <f>Table_AnnualReport[[#This Row],[Actual]]/B51</f>
        <v>0</v>
      </c>
      <c r="J18" s="32">
        <f>January!D18</f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AA18" s="4">
        <v>1</v>
      </c>
    </row>
    <row r="19" spans="1:27" x14ac:dyDescent="0.3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Budget]]*B53</f>
        <v>1200</v>
      </c>
      <c r="G19" s="10">
        <f>Table_AnnualReport[[#This Row],[Actual]]/Table_AnnualReport[[#This Row],[Annual Budget]]</f>
        <v>0</v>
      </c>
      <c r="H19" s="32">
        <f>Table_AnnualReport[[#This Row],[Actual]]/B51</f>
        <v>0</v>
      </c>
      <c r="J19" s="32">
        <f>January!D19</f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AA19" s="4">
        <v>1</v>
      </c>
    </row>
    <row r="20" spans="1:27" x14ac:dyDescent="0.3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Budget]]*B53</f>
        <v>120</v>
      </c>
      <c r="G20" s="10">
        <f>Table_AnnualReport[[#This Row],[Actual]]/Table_AnnualReport[[#This Row],[Annual Budget]]</f>
        <v>0</v>
      </c>
      <c r="H20" s="32">
        <f>Table_AnnualReport[[#This Row],[Actual]]/B51</f>
        <v>0</v>
      </c>
      <c r="J20" s="32">
        <f>January!D20</f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AA20" s="4">
        <v>1</v>
      </c>
    </row>
    <row r="21" spans="1:27" s="4" customFormat="1" x14ac:dyDescent="0.3">
      <c r="A21" s="26"/>
      <c r="B21" s="20"/>
      <c r="C21" s="20" t="s">
        <v>55</v>
      </c>
      <c r="D21" s="32">
        <f>SUM(Table_ActualExpenseMonth[#This Row])</f>
        <v>0</v>
      </c>
      <c r="E21" s="32">
        <v>5</v>
      </c>
      <c r="F21" s="32">
        <f>Table_AnnualReport[[#This Row],[Monthly Budget]]*B53</f>
        <v>60</v>
      </c>
      <c r="G21" s="10">
        <f>Table_AnnualReport[[#This Row],[Actual]]/Table_AnnualReport[[#This Row],[Annual Budget]]</f>
        <v>0</v>
      </c>
      <c r="H21" s="32">
        <f>Table_AnnualReport[[#This Row],[Actual]]/B51</f>
        <v>0</v>
      </c>
      <c r="J21" s="32">
        <f>January!D21</f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AA21" s="4">
        <v>1</v>
      </c>
    </row>
    <row r="22" spans="1:27" x14ac:dyDescent="0.3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Budget]]*B53</f>
        <v>120</v>
      </c>
      <c r="G22" s="10">
        <f>Table_AnnualReport[[#This Row],[Actual]]/Table_AnnualReport[[#This Row],[Annual Budget]]</f>
        <v>0</v>
      </c>
      <c r="H22" s="32">
        <f>Table_AnnualReport[[#This Row],[Actual]]/B51</f>
        <v>0</v>
      </c>
      <c r="J22" s="32">
        <f>January!D22</f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AA22" s="4">
        <v>1</v>
      </c>
    </row>
    <row r="23" spans="1:27" x14ac:dyDescent="0.3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Budget]]*B53</f>
        <v>1200</v>
      </c>
      <c r="G23" s="10">
        <f>Table_AnnualReport[[#This Row],[Actual]]/Table_AnnualReport[[#This Row],[Annual Budget]]</f>
        <v>0</v>
      </c>
      <c r="H23" s="32">
        <f>Table_AnnualReport[[#This Row],[Actual]]/B51</f>
        <v>0</v>
      </c>
      <c r="J23" s="32">
        <f>January!D23</f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AA23" s="4">
        <v>1</v>
      </c>
    </row>
    <row r="24" spans="1:27" x14ac:dyDescent="0.3">
      <c r="A24" s="26"/>
      <c r="B24" s="20"/>
      <c r="C24" s="19" t="s">
        <v>85</v>
      </c>
      <c r="D24" s="32">
        <f>SUM(Table_ActualExpenseMonth[#This Row])</f>
        <v>349</v>
      </c>
      <c r="E24" s="32">
        <v>30</v>
      </c>
      <c r="F24" s="32">
        <f>Table_AnnualReport[[#This Row],[Monthly Budget]]*B53</f>
        <v>360</v>
      </c>
      <c r="G24" s="10">
        <f>Table_AnnualReport[[#This Row],[Actual]]/Table_AnnualReport[[#This Row],[Annual Budget]]</f>
        <v>0.96944444444444444</v>
      </c>
      <c r="H24" s="32">
        <f>Table_AnnualReport[[#This Row],[Actual]]/B51</f>
        <v>349</v>
      </c>
      <c r="J24" s="32">
        <f>January!D24</f>
        <v>349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AA24" s="4">
        <v>1</v>
      </c>
    </row>
    <row r="25" spans="1:27" x14ac:dyDescent="0.3">
      <c r="A25" s="26"/>
      <c r="B25" s="20"/>
      <c r="C25" s="19" t="s">
        <v>75</v>
      </c>
      <c r="D25" s="32">
        <f>SUM(Table_ActualExpenseMonth[#This Row])</f>
        <v>0</v>
      </c>
      <c r="E25" s="32">
        <v>10</v>
      </c>
      <c r="F25" s="32">
        <f>Table_AnnualReport[[#This Row],[Monthly Budget]]*B53</f>
        <v>120</v>
      </c>
      <c r="G25" s="10">
        <f>Table_AnnualReport[[#This Row],[Actual]]/Table_AnnualReport[[#This Row],[Annual Budget]]</f>
        <v>0</v>
      </c>
      <c r="H25" s="32">
        <f>Table_AnnualReport[[#This Row],[Actual]]/B51</f>
        <v>0</v>
      </c>
      <c r="J25" s="32">
        <f>January!D25</f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AA25" s="4">
        <v>1</v>
      </c>
    </row>
    <row r="26" spans="1:27" x14ac:dyDescent="0.3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Budget]]*B53</f>
        <v>1200</v>
      </c>
      <c r="G26" s="10">
        <f>Table_AnnualReport[[#This Row],[Actual]]/Table_AnnualReport[[#This Row],[Annual Budget]]</f>
        <v>0</v>
      </c>
      <c r="H26" s="32">
        <f>Table_AnnualReport[[#This Row],[Actual]]/B51</f>
        <v>0</v>
      </c>
      <c r="J26" s="32">
        <f>January!D26</f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AA26" s="4">
        <v>1</v>
      </c>
    </row>
    <row r="27" spans="1:27" x14ac:dyDescent="0.3">
      <c r="A27" s="26"/>
      <c r="B27" s="21" t="s">
        <v>89</v>
      </c>
      <c r="C27" s="22" t="s">
        <v>13</v>
      </c>
      <c r="D27" s="33">
        <f>SUM(Table_ActualExpenseMonth[#This Row])</f>
        <v>150</v>
      </c>
      <c r="E27" s="33">
        <v>150</v>
      </c>
      <c r="F27" s="33">
        <f>Table_AnnualReport[[#This Row],[Monthly Budget]]*B53</f>
        <v>1800</v>
      </c>
      <c r="G27" s="11">
        <f>Table_AnnualReport[[#This Row],[Actual]]/Table_AnnualReport[[#This Row],[Annual Budget]]</f>
        <v>8.3333333333333329E-2</v>
      </c>
      <c r="H27" s="33">
        <f>Table_AnnualReport[[#This Row],[Actual]]/B51</f>
        <v>150</v>
      </c>
      <c r="J27" s="33">
        <f>January!D27</f>
        <v>150</v>
      </c>
      <c r="K27" s="33">
        <v>0</v>
      </c>
      <c r="L27" s="33">
        <v>0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AA27" s="4">
        <v>1</v>
      </c>
    </row>
    <row r="28" spans="1:27" x14ac:dyDescent="0.3">
      <c r="A28" s="26"/>
      <c r="B28" s="21"/>
      <c r="C28" s="21" t="s">
        <v>96</v>
      </c>
      <c r="D28" s="33">
        <f>SUM(Table_ActualExpenseMonth[#This Row])</f>
        <v>75</v>
      </c>
      <c r="E28" s="33">
        <v>75</v>
      </c>
      <c r="F28" s="33">
        <f>Table_AnnualReport[[#This Row],[Monthly Budget]]*B53</f>
        <v>900</v>
      </c>
      <c r="G28" s="11">
        <f>Table_AnnualReport[[#This Row],[Actual]]/Table_AnnualReport[[#This Row],[Annual Budget]]</f>
        <v>8.3333333333333329E-2</v>
      </c>
      <c r="H28" s="33">
        <f>Table_AnnualReport[[#This Row],[Actual]]/B51</f>
        <v>75</v>
      </c>
      <c r="J28" s="33">
        <f>January!D28</f>
        <v>75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AA28" s="4">
        <v>1</v>
      </c>
    </row>
    <row r="29" spans="1:27" x14ac:dyDescent="0.3">
      <c r="A29" s="26"/>
      <c r="B29" s="22"/>
      <c r="C29" s="22" t="s">
        <v>23</v>
      </c>
      <c r="D29" s="33">
        <f>SUM(Table_ActualExpenseMonth[#This Row])</f>
        <v>0</v>
      </c>
      <c r="E29" s="33">
        <v>0.01</v>
      </c>
      <c r="F29" s="33">
        <f>Table_AnnualReport[[#This Row],[Monthly Budget]]*B53</f>
        <v>0.12</v>
      </c>
      <c r="G29" s="11">
        <f>Table_AnnualReport[[#This Row],[Actual]]/Table_AnnualReport[[#This Row],[Annual Budget]]</f>
        <v>0</v>
      </c>
      <c r="H29" s="33">
        <f>Table_AnnualReport[[#This Row],[Actual]]/B51</f>
        <v>0</v>
      </c>
      <c r="J29" s="33">
        <f>January!D29</f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AA29" s="4">
        <v>1</v>
      </c>
    </row>
    <row r="30" spans="1:27" x14ac:dyDescent="0.3">
      <c r="A30" s="26"/>
      <c r="B30" s="22"/>
      <c r="C30" s="21" t="s">
        <v>50</v>
      </c>
      <c r="D30" s="33">
        <f>SUM(Table_ActualExpenseMonth[#This Row])</f>
        <v>0</v>
      </c>
      <c r="E30" s="33">
        <v>100</v>
      </c>
      <c r="F30" s="33">
        <f>Table_AnnualReport[[#This Row],[Monthly Budget]]*B53</f>
        <v>1200</v>
      </c>
      <c r="G30" s="11">
        <f>Table_AnnualReport[[#This Row],[Actual]]/Table_AnnualReport[[#This Row],[Annual Budget]]</f>
        <v>0</v>
      </c>
      <c r="H30" s="33">
        <f>Table_AnnualReport[[#This Row],[Actual]]/B51</f>
        <v>0</v>
      </c>
      <c r="J30" s="33">
        <f>January!D30</f>
        <v>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AA30" s="4">
        <v>1</v>
      </c>
    </row>
    <row r="31" spans="1:27" x14ac:dyDescent="0.3">
      <c r="A31" s="26"/>
      <c r="B31" s="22"/>
      <c r="C31" s="22" t="s">
        <v>25</v>
      </c>
      <c r="D31" s="33">
        <f>SUM(Table_ActualExpenseMonth[#This Row])</f>
        <v>0</v>
      </c>
      <c r="E31" s="33">
        <v>0.01</v>
      </c>
      <c r="F31" s="33">
        <f>Table_AnnualReport[[#This Row],[Monthly Budget]]*B53</f>
        <v>0.12</v>
      </c>
      <c r="G31" s="11">
        <f>Table_AnnualReport[[#This Row],[Actual]]/Table_AnnualReport[[#This Row],[Annual Budget]]</f>
        <v>0</v>
      </c>
      <c r="H31" s="33">
        <f>Table_AnnualReport[[#This Row],[Actual]]/B51</f>
        <v>0</v>
      </c>
      <c r="J31" s="33">
        <f>January!D31</f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AA31" s="4">
        <v>1</v>
      </c>
    </row>
    <row r="32" spans="1:27" x14ac:dyDescent="0.3">
      <c r="A32" s="27"/>
      <c r="B32" s="22"/>
      <c r="C32" s="22" t="s">
        <v>33</v>
      </c>
      <c r="D32" s="33">
        <f>SUM(Table_ActualExpenseMonth[#This Row])</f>
        <v>0</v>
      </c>
      <c r="E32" s="33">
        <v>30</v>
      </c>
      <c r="F32" s="33">
        <f>Table_AnnualReport[[#This Row],[Monthly Budget]]*B53</f>
        <v>360</v>
      </c>
      <c r="G32" s="11">
        <f>Table_AnnualReport[[#This Row],[Actual]]/Table_AnnualReport[[#This Row],[Annual Budget]]</f>
        <v>0</v>
      </c>
      <c r="H32" s="33">
        <f>Table_AnnualReport[[#This Row],[Actual]]/B51</f>
        <v>0</v>
      </c>
      <c r="J32" s="33">
        <f>January!D32</f>
        <v>0</v>
      </c>
      <c r="K32" s="33">
        <v>0</v>
      </c>
      <c r="L32" s="33">
        <v>0</v>
      </c>
      <c r="M32" s="33">
        <v>0</v>
      </c>
      <c r="N32" s="33">
        <v>0</v>
      </c>
      <c r="O32" s="33"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AA32" s="4">
        <v>1</v>
      </c>
    </row>
    <row r="33" spans="1:27" x14ac:dyDescent="0.3">
      <c r="A33" s="27"/>
      <c r="B33" s="23" t="s">
        <v>45</v>
      </c>
      <c r="C33" s="24" t="s">
        <v>37</v>
      </c>
      <c r="D33" s="34">
        <f>SUM(Table_ActualExpenseMonth[#This Row])</f>
        <v>100</v>
      </c>
      <c r="E33" s="34">
        <v>100</v>
      </c>
      <c r="F33" s="34">
        <f>Table_AnnualReport[[#This Row],[Monthly Budget]]*B53</f>
        <v>1200</v>
      </c>
      <c r="G33" s="95">
        <f>Table_AnnualReport[[#This Row],[Actual]]/Table_AnnualReport[[#This Row],[Annual Budget]]</f>
        <v>8.3333333333333329E-2</v>
      </c>
      <c r="H33" s="34">
        <f>Table_AnnualReport[[#This Row],[Actual]]/B51</f>
        <v>100</v>
      </c>
      <c r="J33" s="34">
        <f>January!D33</f>
        <v>100</v>
      </c>
      <c r="K33" s="34">
        <v>0</v>
      </c>
      <c r="L33" s="34">
        <v>0</v>
      </c>
      <c r="M33" s="34">
        <v>0</v>
      </c>
      <c r="N33" s="34">
        <v>0</v>
      </c>
      <c r="O33" s="34">
        <v>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AA33" s="4">
        <v>1</v>
      </c>
    </row>
    <row r="34" spans="1:27" x14ac:dyDescent="0.3">
      <c r="A34" s="26"/>
      <c r="B34" s="23"/>
      <c r="C34" s="23" t="s">
        <v>95</v>
      </c>
      <c r="D34" s="34">
        <f>SUM(Table_ActualExpenseMonth[#This Row])</f>
        <v>0</v>
      </c>
      <c r="E34" s="34">
        <v>30</v>
      </c>
      <c r="F34" s="34">
        <f>Table_AnnualReport[[#This Row],[Monthly Budget]]*B53</f>
        <v>360</v>
      </c>
      <c r="G34" s="95">
        <f>Table_AnnualReport[[#This Row],[Actual]]/Table_AnnualReport[[#This Row],[Annual Budget]]</f>
        <v>0</v>
      </c>
      <c r="H34" s="34">
        <f>Table_AnnualReport[[#This Row],[Actual]]/B51</f>
        <v>0</v>
      </c>
      <c r="J34" s="34">
        <f>January!D34</f>
        <v>0</v>
      </c>
      <c r="K34" s="34">
        <v>0</v>
      </c>
      <c r="L34" s="34">
        <v>0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AA34">
        <v>1</v>
      </c>
    </row>
    <row r="35" spans="1:27" x14ac:dyDescent="0.3">
      <c r="A35" s="26"/>
      <c r="B35" s="23"/>
      <c r="C35" s="23" t="s">
        <v>94</v>
      </c>
      <c r="D35" s="34">
        <f>SUM(Table_ActualExpenseMonth[#This Row])</f>
        <v>0</v>
      </c>
      <c r="E35" s="34">
        <v>50</v>
      </c>
      <c r="F35" s="34">
        <f>Table_AnnualReport[[#This Row],[Monthly Budget]]*B53</f>
        <v>600</v>
      </c>
      <c r="G35" s="95">
        <f>Table_AnnualReport[[#This Row],[Actual]]/Table_AnnualReport[[#This Row],[Annual Budget]]</f>
        <v>0</v>
      </c>
      <c r="H35" s="34">
        <f>Table_AnnualReport[[#This Row],[Actual]]/B51</f>
        <v>0</v>
      </c>
      <c r="J35" s="34">
        <f>January!D35</f>
        <v>0</v>
      </c>
      <c r="K35" s="34">
        <v>0</v>
      </c>
      <c r="L35" s="34">
        <v>0</v>
      </c>
      <c r="M35" s="34">
        <v>0</v>
      </c>
      <c r="N35" s="34">
        <v>0</v>
      </c>
      <c r="O35" s="34"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AA35">
        <v>1</v>
      </c>
    </row>
    <row r="36" spans="1:27" s="4" customFormat="1" x14ac:dyDescent="0.3">
      <c r="A36" s="26"/>
      <c r="B36" s="23"/>
      <c r="C36" s="23" t="s">
        <v>7</v>
      </c>
      <c r="D36" s="34">
        <f>SUM(Table_ActualExpenseMonth[#This Row])</f>
        <v>50</v>
      </c>
      <c r="E36" s="34">
        <v>50</v>
      </c>
      <c r="F36" s="34">
        <f>Table_AnnualReport[[#This Row],[Monthly Budget]]*B53</f>
        <v>600</v>
      </c>
      <c r="G36" s="95">
        <f>Table_AnnualReport[[#This Row],[Actual]]/Table_AnnualReport[[#This Row],[Annual Budget]]</f>
        <v>8.3333333333333329E-2</v>
      </c>
      <c r="H36" s="34">
        <f>Table_AnnualReport[[#This Row],[Actual]]/B51</f>
        <v>50</v>
      </c>
      <c r="J36" s="34">
        <f>January!D36</f>
        <v>50</v>
      </c>
      <c r="K36" s="34">
        <v>0</v>
      </c>
      <c r="L36" s="34">
        <v>0</v>
      </c>
      <c r="M36" s="34">
        <v>0</v>
      </c>
      <c r="N36" s="34">
        <v>0</v>
      </c>
      <c r="O36" s="34">
        <v>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AA36" s="4">
        <v>1</v>
      </c>
    </row>
    <row r="37" spans="1:27" s="4" customFormat="1" x14ac:dyDescent="0.3">
      <c r="A37"/>
      <c r="B37" s="5" t="s">
        <v>53</v>
      </c>
      <c r="C37" s="5" t="s">
        <v>54</v>
      </c>
      <c r="D37" s="35">
        <f>SUM(Table_ActualExpenseMonth[#This Row])</f>
        <v>200</v>
      </c>
      <c r="E37" s="37">
        <v>200</v>
      </c>
      <c r="F37" s="35">
        <f>Table_AnnualReport[[#This Row],[Monthly Budget]]*B53</f>
        <v>2400</v>
      </c>
      <c r="G37" s="64">
        <f>Table_AnnualReport[[#This Row],[Actual]]/Table_AnnualReport[[#This Row],[Annual Budget]]</f>
        <v>8.3333333333333329E-2</v>
      </c>
      <c r="H37" s="35">
        <f>Table_AnnualReport[[#This Row],[Actual]]/B51</f>
        <v>200</v>
      </c>
      <c r="J37" s="37">
        <f>January!D37</f>
        <v>200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37">
        <v>0</v>
      </c>
      <c r="Q37" s="37">
        <v>0</v>
      </c>
      <c r="R37" s="37">
        <v>0</v>
      </c>
      <c r="S37" s="37">
        <v>0</v>
      </c>
      <c r="T37" s="37">
        <v>0</v>
      </c>
      <c r="U37" s="37">
        <v>0</v>
      </c>
      <c r="AA37" s="4">
        <v>1</v>
      </c>
    </row>
    <row r="38" spans="1:27" s="4" customFormat="1" x14ac:dyDescent="0.3">
      <c r="A38"/>
      <c r="B38" s="6"/>
      <c r="C38" s="5" t="s">
        <v>92</v>
      </c>
      <c r="D38" s="35">
        <f>SUM(Table_ActualExpenseMonth[#This Row])</f>
        <v>0</v>
      </c>
      <c r="E38" s="37">
        <v>30</v>
      </c>
      <c r="F38" s="35">
        <f>Table_AnnualReport[[#This Row],[Monthly Budget]]*B53</f>
        <v>360</v>
      </c>
      <c r="G38" s="64">
        <f>Table_AnnualReport[[#This Row],[Actual]]/Table_AnnualReport[[#This Row],[Annual Budget]]</f>
        <v>0</v>
      </c>
      <c r="H38" s="35">
        <f>Table_AnnualReport[[#This Row],[Actual]]/B51</f>
        <v>0</v>
      </c>
      <c r="J38" s="37">
        <f>January!D38</f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37">
        <v>0</v>
      </c>
      <c r="Q38" s="37">
        <v>0</v>
      </c>
      <c r="R38" s="37">
        <v>0</v>
      </c>
      <c r="S38" s="37">
        <v>0</v>
      </c>
      <c r="T38" s="37">
        <v>0</v>
      </c>
      <c r="U38" s="37">
        <v>0</v>
      </c>
      <c r="AA38" s="4">
        <v>1</v>
      </c>
    </row>
    <row r="39" spans="1:27" s="4" customFormat="1" x14ac:dyDescent="0.3">
      <c r="B39" s="6"/>
      <c r="C39" s="5" t="s">
        <v>93</v>
      </c>
      <c r="D39" s="35">
        <f>SUM(Table_ActualExpenseMonth[#This Row])</f>
        <v>0</v>
      </c>
      <c r="E39" s="37">
        <v>15</v>
      </c>
      <c r="F39" s="35">
        <f>Table_AnnualReport[[#This Row],[Monthly Budget]]*B53</f>
        <v>180</v>
      </c>
      <c r="G39" s="64">
        <f>Table_AnnualReport[[#This Row],[Actual]]/Table_AnnualReport[[#This Row],[Annual Budget]]</f>
        <v>0</v>
      </c>
      <c r="H39" s="35">
        <f>Table_AnnualReport[[#This Row],[Actual]]/B51</f>
        <v>0</v>
      </c>
      <c r="J39" s="37">
        <f>January!D39</f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37">
        <v>0</v>
      </c>
      <c r="Q39" s="37">
        <v>0</v>
      </c>
      <c r="R39" s="37">
        <v>0</v>
      </c>
      <c r="S39" s="37">
        <v>0</v>
      </c>
      <c r="T39" s="37">
        <v>0</v>
      </c>
      <c r="U39" s="37">
        <v>0</v>
      </c>
      <c r="AA39" s="4">
        <v>1</v>
      </c>
    </row>
    <row r="40" spans="1:27" s="4" customFormat="1" x14ac:dyDescent="0.3">
      <c r="A40"/>
      <c r="B40"/>
      <c r="C40"/>
      <c r="D40" s="36"/>
      <c r="E40" s="36"/>
      <c r="F40" s="36"/>
      <c r="G40" s="36"/>
      <c r="H40" s="36"/>
      <c r="J40"/>
      <c r="K40"/>
      <c r="L40"/>
      <c r="M40"/>
      <c r="N40"/>
      <c r="O40"/>
      <c r="P40" s="36"/>
      <c r="R40"/>
      <c r="S40"/>
      <c r="T40"/>
      <c r="U40"/>
    </row>
    <row r="41" spans="1:27" s="4" customFormat="1" x14ac:dyDescent="0.3">
      <c r="C41" s="77" t="s">
        <v>17</v>
      </c>
      <c r="D41" s="78">
        <f>SUM(D2:D3)</f>
        <v>2000</v>
      </c>
      <c r="E41" s="78">
        <f>SUM(E2:E3)</f>
        <v>2100</v>
      </c>
      <c r="F41" s="78">
        <f>SUM(F2:F3)</f>
        <v>25200</v>
      </c>
      <c r="G41" s="96">
        <f>D41/F41</f>
        <v>7.9365079365079361E-2</v>
      </c>
      <c r="H41" s="78">
        <f>D41/B51</f>
        <v>2000</v>
      </c>
      <c r="J41" s="78">
        <f>SUM(J2:J3)</f>
        <v>2000</v>
      </c>
      <c r="K41" s="78">
        <f>SUM(K2:K3)</f>
        <v>0</v>
      </c>
      <c r="L41" s="78">
        <f>SUM(L2:L3)</f>
        <v>0</v>
      </c>
      <c r="M41" s="78">
        <f>SUM(M2:M3)</f>
        <v>0</v>
      </c>
      <c r="N41" s="78">
        <f>SUM(N2:N3)</f>
        <v>0</v>
      </c>
      <c r="O41" s="78">
        <f>SUM(O2:O3)</f>
        <v>0</v>
      </c>
      <c r="P41" s="78">
        <f>SUM(P2:P3)</f>
        <v>0</v>
      </c>
      <c r="Q41" s="78">
        <f>SUM(Q2:Q3)</f>
        <v>0</v>
      </c>
      <c r="R41" s="78">
        <f>SUM(R2:R3)</f>
        <v>0</v>
      </c>
      <c r="S41" s="78">
        <f>SUM(S2:S3)</f>
        <v>0</v>
      </c>
      <c r="T41" s="78">
        <f>SUM(T2:T3)</f>
        <v>0</v>
      </c>
      <c r="U41" s="78">
        <f>SUM(U2:U3)</f>
        <v>0</v>
      </c>
    </row>
    <row r="42" spans="1:27" s="4" customFormat="1" x14ac:dyDescent="0.3">
      <c r="C42" s="79" t="s">
        <v>35</v>
      </c>
      <c r="D42" s="80">
        <f>SUM(D4:D8)</f>
        <v>70</v>
      </c>
      <c r="E42" s="80">
        <f>SUM(E4:E8)</f>
        <v>320.01</v>
      </c>
      <c r="F42" s="80">
        <f>SUM(F4:F8)</f>
        <v>3840.12</v>
      </c>
      <c r="G42" s="97">
        <f t="shared" ref="G42:G49" si="0">D42/F42</f>
        <v>1.8228597023009697E-2</v>
      </c>
      <c r="H42" s="80">
        <f>D42/B51</f>
        <v>70</v>
      </c>
      <c r="J42" s="80">
        <f>SUM(J4:J8)</f>
        <v>70</v>
      </c>
      <c r="K42" s="80">
        <f>SUM(K4:K8)</f>
        <v>0</v>
      </c>
      <c r="L42" s="80">
        <f>SUM(L4:L8)</f>
        <v>0</v>
      </c>
      <c r="M42" s="80">
        <f>SUM(M4:M8)</f>
        <v>0</v>
      </c>
      <c r="N42" s="80">
        <f>SUM(N4:N8)</f>
        <v>0</v>
      </c>
      <c r="O42" s="80">
        <f>SUM(O4:O8)</f>
        <v>0</v>
      </c>
      <c r="P42" s="80">
        <f>SUM(P4:P8)</f>
        <v>0</v>
      </c>
      <c r="Q42" s="80">
        <f>SUM(Q4:Q8)</f>
        <v>0</v>
      </c>
      <c r="R42" s="80">
        <f>SUM(R4:R8)</f>
        <v>0</v>
      </c>
      <c r="S42" s="80">
        <f>SUM(S4:S8)</f>
        <v>0</v>
      </c>
      <c r="T42" s="80">
        <f>SUM(T4:T8)</f>
        <v>0</v>
      </c>
      <c r="U42" s="80">
        <f>SUM(U4:U8)</f>
        <v>0</v>
      </c>
    </row>
    <row r="43" spans="1:27" x14ac:dyDescent="0.3">
      <c r="A43" s="4"/>
      <c r="B43" s="4"/>
      <c r="C43" s="81" t="s">
        <v>16</v>
      </c>
      <c r="D43" s="82">
        <f>SUM(D9:D13)</f>
        <v>300</v>
      </c>
      <c r="E43" s="82">
        <f>SUM(E9:E13)</f>
        <v>356</v>
      </c>
      <c r="F43" s="82">
        <f>SUM(F9:F13)</f>
        <v>4272</v>
      </c>
      <c r="G43" s="98">
        <f t="shared" si="0"/>
        <v>7.02247191011236E-2</v>
      </c>
      <c r="H43" s="82">
        <f>D43/B51</f>
        <v>300</v>
      </c>
      <c r="I43" s="4"/>
      <c r="J43" s="82">
        <f>SUM(J9:J13)</f>
        <v>300</v>
      </c>
      <c r="K43" s="82">
        <f>SUM(K9:K13)</f>
        <v>0</v>
      </c>
      <c r="L43" s="82">
        <f>SUM(L9:L13)</f>
        <v>0</v>
      </c>
      <c r="M43" s="82">
        <f>SUM(M9:M13)</f>
        <v>0</v>
      </c>
      <c r="N43" s="82">
        <f>SUM(N9:N13)</f>
        <v>0</v>
      </c>
      <c r="O43" s="82">
        <f>SUM(O9:O13)</f>
        <v>0</v>
      </c>
      <c r="P43" s="82">
        <f>SUM(P9:P13)</f>
        <v>0</v>
      </c>
      <c r="Q43" s="82">
        <f>SUM(Q9:Q13)</f>
        <v>0</v>
      </c>
      <c r="R43" s="82">
        <f>SUM(R9:R13)</f>
        <v>0</v>
      </c>
      <c r="S43" s="82">
        <f>SUM(S9:S13)</f>
        <v>0</v>
      </c>
      <c r="T43" s="82">
        <f>SUM(T9:T13)</f>
        <v>0</v>
      </c>
      <c r="U43" s="82">
        <f>SUM(U9:U13)</f>
        <v>0</v>
      </c>
    </row>
    <row r="44" spans="1:27" s="4" customFormat="1" x14ac:dyDescent="0.3">
      <c r="C44" s="83" t="s">
        <v>34</v>
      </c>
      <c r="D44" s="84">
        <f>SUM(D14:D26)</f>
        <v>398.99</v>
      </c>
      <c r="E44" s="84">
        <f>SUM(E14:E26)</f>
        <v>475</v>
      </c>
      <c r="F44" s="84">
        <f>SUM(F14:F25)</f>
        <v>4500</v>
      </c>
      <c r="G44" s="99">
        <f t="shared" si="0"/>
        <v>8.8664444444444449E-2</v>
      </c>
      <c r="H44" s="84">
        <f>D44/B51</f>
        <v>398.99</v>
      </c>
      <c r="J44" s="84">
        <f>SUM(J14:J24)</f>
        <v>398.99</v>
      </c>
      <c r="K44" s="84">
        <f>SUM(K14:K24)</f>
        <v>0</v>
      </c>
      <c r="L44" s="84">
        <f>SUM(L14:L24)</f>
        <v>0</v>
      </c>
      <c r="M44" s="84">
        <f>SUM(M14:M24)</f>
        <v>0</v>
      </c>
      <c r="N44" s="84">
        <f>SUM(N14:N24)</f>
        <v>0</v>
      </c>
      <c r="O44" s="84">
        <f>SUM(O14:O24)</f>
        <v>0</v>
      </c>
      <c r="P44" s="84">
        <f>SUM(P14:P24)</f>
        <v>0</v>
      </c>
      <c r="Q44" s="84">
        <f>SUM(Q14:Q24)</f>
        <v>0</v>
      </c>
      <c r="R44" s="84">
        <f>SUM(R14:R24)</f>
        <v>0</v>
      </c>
      <c r="S44" s="84">
        <f>SUM(S14:S24)</f>
        <v>0</v>
      </c>
      <c r="T44" s="84">
        <f>SUM(T14:T24)</f>
        <v>0</v>
      </c>
      <c r="U44" s="84">
        <f>SUM(U14:U24)</f>
        <v>0</v>
      </c>
    </row>
    <row r="45" spans="1:27" s="4" customFormat="1" x14ac:dyDescent="0.3">
      <c r="C45" s="85" t="s">
        <v>89</v>
      </c>
      <c r="D45" s="86">
        <f>SUM(D27:D32)</f>
        <v>225</v>
      </c>
      <c r="E45" s="86">
        <f>SUM(E27:E32)</f>
        <v>355.02</v>
      </c>
      <c r="F45" s="86">
        <f>SUM(F27:F32)</f>
        <v>4260.24</v>
      </c>
      <c r="G45" s="100">
        <f t="shared" si="0"/>
        <v>5.2813925976001354E-2</v>
      </c>
      <c r="H45" s="86">
        <f>D45/B51</f>
        <v>225</v>
      </c>
      <c r="J45" s="86">
        <f>SUM(J27:J32)</f>
        <v>225</v>
      </c>
      <c r="K45" s="86">
        <f>SUM(K27:K32)</f>
        <v>0</v>
      </c>
      <c r="L45" s="86">
        <f>SUM(L27:L32)</f>
        <v>0</v>
      </c>
      <c r="M45" s="86">
        <f>SUM(M27:M32)</f>
        <v>0</v>
      </c>
      <c r="N45" s="86">
        <f>SUM(N27:N32)</f>
        <v>0</v>
      </c>
      <c r="O45" s="86">
        <f>SUM(O27:O32)</f>
        <v>0</v>
      </c>
      <c r="P45" s="86">
        <f>SUM(P27:P32)</f>
        <v>0</v>
      </c>
      <c r="Q45" s="86">
        <f>SUM(Q27:Q32)</f>
        <v>0</v>
      </c>
      <c r="R45" s="86">
        <f>SUM(R27:R32)</f>
        <v>0</v>
      </c>
      <c r="S45" s="86">
        <f>SUM(S27:S32)</f>
        <v>0</v>
      </c>
      <c r="T45" s="86">
        <f>SUM(T27:T32)</f>
        <v>0</v>
      </c>
      <c r="U45" s="86">
        <f>SUM(U27:U32)</f>
        <v>0</v>
      </c>
    </row>
    <row r="46" spans="1:27" s="4" customFormat="1" x14ac:dyDescent="0.3">
      <c r="C46" s="87" t="s">
        <v>45</v>
      </c>
      <c r="D46" s="88">
        <f>SUM(D33:D36)</f>
        <v>150</v>
      </c>
      <c r="E46" s="88">
        <f>SUM(E33:E36)</f>
        <v>230</v>
      </c>
      <c r="F46" s="88">
        <f>SUM(F33:F34)</f>
        <v>1560</v>
      </c>
      <c r="G46" s="101">
        <f t="shared" si="0"/>
        <v>9.6153846153846159E-2</v>
      </c>
      <c r="H46" s="88">
        <f>D46/B51</f>
        <v>150</v>
      </c>
      <c r="J46" s="88">
        <f>SUM(J33:J34)</f>
        <v>100</v>
      </c>
      <c r="K46" s="88">
        <f>SUM(K33:K34)</f>
        <v>0</v>
      </c>
      <c r="L46" s="88">
        <f>SUM(L33:L34)</f>
        <v>0</v>
      </c>
      <c r="M46" s="88">
        <f>SUM(M33:M34)</f>
        <v>0</v>
      </c>
      <c r="N46" s="88">
        <f>SUM(N33:N34)</f>
        <v>0</v>
      </c>
      <c r="O46" s="88">
        <f>SUM(O33:O34)</f>
        <v>0</v>
      </c>
      <c r="P46" s="88">
        <f>SUM(P33:P34)</f>
        <v>0</v>
      </c>
      <c r="Q46" s="88">
        <f>SUM(Q33:Q34)</f>
        <v>0</v>
      </c>
      <c r="R46" s="88">
        <f>SUM(R33:R34)</f>
        <v>0</v>
      </c>
      <c r="S46" s="88">
        <f>SUM(S33:S34)</f>
        <v>0</v>
      </c>
      <c r="T46" s="88">
        <f>SUM(T33:T34)</f>
        <v>0</v>
      </c>
      <c r="U46" s="88">
        <f>SUM(U33:U34)</f>
        <v>0</v>
      </c>
    </row>
    <row r="47" spans="1:27" s="4" customFormat="1" x14ac:dyDescent="0.3">
      <c r="C47" s="89" t="s">
        <v>53</v>
      </c>
      <c r="D47" s="90">
        <f>SUM(D37:D39)</f>
        <v>200</v>
      </c>
      <c r="E47" s="90">
        <f>SUM(E37:E39)</f>
        <v>245</v>
      </c>
      <c r="F47" s="90">
        <f>SUM(F37:F39)</f>
        <v>2940</v>
      </c>
      <c r="G47" s="102">
        <f t="shared" si="0"/>
        <v>6.8027210884353748E-2</v>
      </c>
      <c r="H47" s="90">
        <f>D47/B51</f>
        <v>200</v>
      </c>
      <c r="J47" s="90">
        <f t="shared" ref="J47:U47" si="1">SUM(J36:J38)</f>
        <v>250</v>
      </c>
      <c r="K47" s="90">
        <f t="shared" si="1"/>
        <v>0</v>
      </c>
      <c r="L47" s="90">
        <f t="shared" si="1"/>
        <v>0</v>
      </c>
      <c r="M47" s="90">
        <f t="shared" si="1"/>
        <v>0</v>
      </c>
      <c r="N47" s="90">
        <f t="shared" si="1"/>
        <v>0</v>
      </c>
      <c r="O47" s="90">
        <f t="shared" si="1"/>
        <v>0</v>
      </c>
      <c r="P47" s="90">
        <f t="shared" si="1"/>
        <v>0</v>
      </c>
      <c r="Q47" s="90">
        <f t="shared" si="1"/>
        <v>0</v>
      </c>
      <c r="R47" s="90">
        <f t="shared" si="1"/>
        <v>0</v>
      </c>
      <c r="S47" s="90">
        <f t="shared" si="1"/>
        <v>0</v>
      </c>
      <c r="T47" s="90">
        <f t="shared" si="1"/>
        <v>0</v>
      </c>
      <c r="U47" s="90">
        <f t="shared" si="1"/>
        <v>0</v>
      </c>
    </row>
    <row r="48" spans="1:27" x14ac:dyDescent="0.3">
      <c r="A48" s="4"/>
      <c r="B48" s="4"/>
      <c r="C48" s="92" t="s">
        <v>20</v>
      </c>
      <c r="D48" s="91">
        <f>SUM(D42:D47)</f>
        <v>1343.99</v>
      </c>
      <c r="E48" s="91">
        <f t="shared" ref="E48:H48" si="2">SUM(E42:E47)</f>
        <v>1981.03</v>
      </c>
      <c r="F48" s="91">
        <f t="shared" si="2"/>
        <v>21372.36</v>
      </c>
      <c r="G48" s="103">
        <f t="shared" si="0"/>
        <v>6.2884491932570855E-2</v>
      </c>
      <c r="H48" s="91">
        <f t="shared" si="2"/>
        <v>1343.99</v>
      </c>
      <c r="J48" s="91">
        <f>SUM(J42:J47)</f>
        <v>1343.99</v>
      </c>
      <c r="K48" s="91">
        <f t="shared" ref="K48:U48" si="3">SUM(K42:K47)</f>
        <v>0</v>
      </c>
      <c r="L48" s="91">
        <f t="shared" si="3"/>
        <v>0</v>
      </c>
      <c r="M48" s="91">
        <f t="shared" si="3"/>
        <v>0</v>
      </c>
      <c r="N48" s="91">
        <f t="shared" si="3"/>
        <v>0</v>
      </c>
      <c r="O48" s="91">
        <f t="shared" si="3"/>
        <v>0</v>
      </c>
      <c r="P48" s="91">
        <f t="shared" si="3"/>
        <v>0</v>
      </c>
      <c r="Q48" s="91">
        <f t="shared" si="3"/>
        <v>0</v>
      </c>
      <c r="R48" s="91">
        <f t="shared" si="3"/>
        <v>0</v>
      </c>
      <c r="S48" s="91">
        <f t="shared" si="3"/>
        <v>0</v>
      </c>
      <c r="T48" s="91">
        <f t="shared" si="3"/>
        <v>0</v>
      </c>
      <c r="U48" s="91">
        <f t="shared" si="3"/>
        <v>0</v>
      </c>
    </row>
    <row r="49" spans="1:21" ht="15" thickBot="1" x14ac:dyDescent="0.35">
      <c r="A49" s="1"/>
      <c r="C49" s="70" t="s">
        <v>64</v>
      </c>
      <c r="D49" s="71">
        <f>SUM(D2:D3)-SUM(D4:D39)</f>
        <v>656.01</v>
      </c>
      <c r="E49" s="71">
        <f>SUM(E2:E3)-SUM(E4:E39)</f>
        <v>118.97000000000003</v>
      </c>
      <c r="F49" s="71">
        <f>SUM(F2:F3)-SUM(F4:F39)</f>
        <v>1427.6400000000031</v>
      </c>
      <c r="G49" s="104">
        <f t="shared" si="0"/>
        <v>0.45950659830209195</v>
      </c>
      <c r="H49" s="71">
        <f>D49/B51</f>
        <v>656.01</v>
      </c>
      <c r="J49" s="71">
        <f>SUM(J2:J3)-SUM(J4:J38)</f>
        <v>656.01</v>
      </c>
      <c r="K49" s="71">
        <f>SUM(K2:K3)-SUM(K4:K38)</f>
        <v>0</v>
      </c>
      <c r="L49" s="71">
        <f>SUM(L2:L3)-SUM(L4:L38)</f>
        <v>0</v>
      </c>
      <c r="M49" s="71">
        <f>SUM(M2:M3)-SUM(M4:M38)</f>
        <v>0</v>
      </c>
      <c r="N49" s="71">
        <f>SUM(N2:N3)-SUM(N4:N38)</f>
        <v>0</v>
      </c>
      <c r="O49" s="71">
        <f>SUM(O2:O3)-SUM(O4:O38)</f>
        <v>0</v>
      </c>
      <c r="P49" s="71">
        <f>SUM(P2:P3)-SUM(P4:P38)</f>
        <v>0</v>
      </c>
      <c r="Q49" s="71">
        <f>SUM(Q2:Q3)-SUM(Q4:Q38)</f>
        <v>0</v>
      </c>
      <c r="R49" s="71">
        <f>SUM(R2:R3)-SUM(R4:R38)</f>
        <v>0</v>
      </c>
      <c r="S49" s="71">
        <f>SUM(S2:S3)-SUM(S4:S38)</f>
        <v>0</v>
      </c>
      <c r="T49" s="71">
        <f>SUM(T2:T3)-SUM(T4:T38)</f>
        <v>0</v>
      </c>
      <c r="U49" s="71">
        <f>SUM(U2:U3)-SUM(U4:U38)</f>
        <v>0</v>
      </c>
    </row>
    <row r="50" spans="1:21" ht="15.6" thickTop="1" thickBot="1" x14ac:dyDescent="0.35">
      <c r="A50" s="1"/>
      <c r="B50" s="4"/>
      <c r="C50" s="4"/>
      <c r="D50" s="4"/>
      <c r="E50" s="1"/>
      <c r="F50" s="4"/>
      <c r="G50" s="4"/>
      <c r="H50" s="4"/>
      <c r="I50" s="1" t="s">
        <v>69</v>
      </c>
      <c r="J50" s="71">
        <f>J49</f>
        <v>656.01</v>
      </c>
      <c r="K50" s="71">
        <f>J50+K49</f>
        <v>656.01</v>
      </c>
      <c r="L50" s="71">
        <f>K50+L49</f>
        <v>656.01</v>
      </c>
      <c r="M50" s="71">
        <f t="shared" ref="M50:U50" si="4">L50+M49</f>
        <v>656.01</v>
      </c>
      <c r="N50" s="71">
        <f t="shared" si="4"/>
        <v>656.01</v>
      </c>
      <c r="O50" s="71">
        <f t="shared" si="4"/>
        <v>656.01</v>
      </c>
      <c r="P50" s="71">
        <f t="shared" si="4"/>
        <v>656.01</v>
      </c>
      <c r="Q50" s="71">
        <f t="shared" si="4"/>
        <v>656.01</v>
      </c>
      <c r="R50" s="71">
        <f t="shared" si="4"/>
        <v>656.01</v>
      </c>
      <c r="S50" s="71">
        <f t="shared" si="4"/>
        <v>656.01</v>
      </c>
      <c r="T50" s="71">
        <f t="shared" si="4"/>
        <v>656.01</v>
      </c>
      <c r="U50" s="71">
        <f t="shared" si="4"/>
        <v>656.01</v>
      </c>
    </row>
    <row r="51" spans="1:21" s="4" customFormat="1" ht="15.6" thickTop="1" thickBot="1" x14ac:dyDescent="0.35">
      <c r="A51" s="1" t="s">
        <v>74</v>
      </c>
      <c r="B51" s="4">
        <v>1</v>
      </c>
      <c r="E51" s="1"/>
      <c r="I51" s="1" t="s">
        <v>70</v>
      </c>
      <c r="J51" s="71">
        <f>SUM(I51,'Annual Expense Report'!G7:H8)</f>
        <v>656.01</v>
      </c>
      <c r="K51" s="71">
        <f>SUM(J51,'Annual Expense Report'!G7:H8)</f>
        <v>1312.02</v>
      </c>
      <c r="L51" s="71">
        <f>SUM(K51,'Annual Expense Report'!G7:H8)</f>
        <v>1968.03</v>
      </c>
      <c r="M51" s="71">
        <f>SUM(L51,'Annual Expense Report'!G7:H8)</f>
        <v>2624.04</v>
      </c>
      <c r="N51" s="71">
        <f>SUM(M51,'Annual Expense Report'!G7:H8)</f>
        <v>3280.05</v>
      </c>
      <c r="O51" s="71">
        <f>SUM(N51,'Annual Expense Report'!G7:H8)</f>
        <v>3936.0600000000004</v>
      </c>
      <c r="P51" s="71">
        <f>SUM(O51,'Annual Expense Report'!G7:H8)</f>
        <v>4592.0700000000006</v>
      </c>
      <c r="Q51" s="71">
        <f>SUM(P51,'Annual Expense Report'!G7:H8)</f>
        <v>5248.0800000000008</v>
      </c>
      <c r="R51" s="71">
        <f>SUM(Q51,'Annual Expense Report'!G7:H8)</f>
        <v>5904.0900000000011</v>
      </c>
      <c r="S51" s="71">
        <f>SUM(R51,'Annual Expense Report'!G7:H8)</f>
        <v>6560.1000000000013</v>
      </c>
      <c r="T51" s="71">
        <f>SUM(S51,'Annual Expense Report'!G7:H8)</f>
        <v>7216.1100000000015</v>
      </c>
      <c r="U51" s="71">
        <f>SUM(T51,'Annual Expense Report'!G7:H8)</f>
        <v>7872.1200000000017</v>
      </c>
    </row>
    <row r="52" spans="1:21" ht="15.6" thickTop="1" thickBot="1" x14ac:dyDescent="0.35">
      <c r="A52" s="1" t="s">
        <v>73</v>
      </c>
      <c r="B52" s="4">
        <f>B53-B51</f>
        <v>11</v>
      </c>
      <c r="C52" s="4"/>
      <c r="D52" s="4"/>
      <c r="E52" s="1"/>
      <c r="F52" s="4"/>
      <c r="G52" s="4"/>
      <c r="H52" s="4"/>
      <c r="I52" s="1" t="s">
        <v>71</v>
      </c>
      <c r="J52" s="71">
        <f>E49</f>
        <v>118.97000000000003</v>
      </c>
      <c r="K52" s="71">
        <f>J52+E49</f>
        <v>237.94000000000005</v>
      </c>
      <c r="L52" s="71">
        <f>K52+E49</f>
        <v>356.91000000000008</v>
      </c>
      <c r="M52" s="71">
        <f>L52+E49</f>
        <v>475.88000000000011</v>
      </c>
      <c r="N52" s="71">
        <f>M52+E49</f>
        <v>594.85000000000014</v>
      </c>
      <c r="O52" s="71">
        <f>N52+E49</f>
        <v>713.82000000000016</v>
      </c>
      <c r="P52" s="71">
        <f>O52+E49</f>
        <v>832.79000000000019</v>
      </c>
      <c r="Q52" s="71">
        <f>P52+E49</f>
        <v>951.76000000000022</v>
      </c>
      <c r="R52" s="71">
        <f>Q52+E49</f>
        <v>1070.7300000000002</v>
      </c>
      <c r="S52" s="71">
        <f>R52+E49</f>
        <v>1189.7000000000003</v>
      </c>
      <c r="T52" s="71">
        <f>S52+E49</f>
        <v>1308.6700000000003</v>
      </c>
      <c r="U52" s="71">
        <f>T52+E49</f>
        <v>1427.6400000000003</v>
      </c>
    </row>
    <row r="53" spans="1:21" ht="15" thickTop="1" x14ac:dyDescent="0.3">
      <c r="A53" s="1" t="s">
        <v>86</v>
      </c>
      <c r="B53">
        <v>12</v>
      </c>
      <c r="P53" s="36"/>
      <c r="Q53" s="4"/>
    </row>
    <row r="54" spans="1:21" x14ac:dyDescent="0.3">
      <c r="A54" s="4"/>
      <c r="B54" s="4"/>
      <c r="C54" s="4"/>
      <c r="J54" s="4"/>
      <c r="K54" s="4"/>
      <c r="L54" s="4"/>
      <c r="M54" s="4"/>
      <c r="N54" s="4"/>
      <c r="O54" s="4"/>
      <c r="P54" s="36"/>
      <c r="Q54" s="4"/>
      <c r="R54" s="4"/>
      <c r="S54" s="4"/>
      <c r="T54" s="4"/>
      <c r="U54" s="4"/>
    </row>
    <row r="55" spans="1:21" x14ac:dyDescent="0.3">
      <c r="A55" s="1" t="s">
        <v>40</v>
      </c>
      <c r="B55" s="1" t="s">
        <v>39</v>
      </c>
      <c r="C55" s="1" t="s">
        <v>46</v>
      </c>
      <c r="Q55" s="4"/>
    </row>
    <row r="56" spans="1:21" x14ac:dyDescent="0.3">
      <c r="A56" s="13" t="s">
        <v>17</v>
      </c>
      <c r="B56" s="29">
        <f>SUM(E2:E3)</f>
        <v>2100</v>
      </c>
      <c r="C56" s="8">
        <f>B56/B56</f>
        <v>1</v>
      </c>
      <c r="Q56" s="4"/>
    </row>
    <row r="57" spans="1:21" x14ac:dyDescent="0.3">
      <c r="A57" s="15" t="s">
        <v>35</v>
      </c>
      <c r="B57" s="30">
        <f>SUM(E4:E8)</f>
        <v>320.01</v>
      </c>
      <c r="C57" s="9">
        <f>B57/B56</f>
        <v>0.15238571428571429</v>
      </c>
      <c r="Q57" s="4"/>
    </row>
    <row r="58" spans="1:21" x14ac:dyDescent="0.3">
      <c r="A58" s="16" t="s">
        <v>16</v>
      </c>
      <c r="B58" s="40">
        <f>SUM(E9:E13)</f>
        <v>356</v>
      </c>
      <c r="C58" s="72">
        <f>B58/B56</f>
        <v>0.16952380952380952</v>
      </c>
      <c r="Q58" s="4"/>
    </row>
    <row r="59" spans="1:21" x14ac:dyDescent="0.3">
      <c r="A59" s="20" t="s">
        <v>34</v>
      </c>
      <c r="B59" s="32">
        <f>SUM(E14:E26)</f>
        <v>475</v>
      </c>
      <c r="C59" s="10">
        <f>B59/B56</f>
        <v>0.22619047619047619</v>
      </c>
      <c r="Q59" s="4"/>
    </row>
    <row r="60" spans="1:21" x14ac:dyDescent="0.3">
      <c r="A60" s="21" t="s">
        <v>89</v>
      </c>
      <c r="B60" s="33">
        <f>SUM(E27:E32)</f>
        <v>355.02</v>
      </c>
      <c r="C60" s="11">
        <f>B60/B56</f>
        <v>0.16905714285714285</v>
      </c>
      <c r="Q60" s="4"/>
    </row>
    <row r="61" spans="1:21" x14ac:dyDescent="0.3">
      <c r="A61" s="23" t="s">
        <v>45</v>
      </c>
      <c r="B61" s="43">
        <f>SUM(E33:E36)</f>
        <v>230</v>
      </c>
      <c r="C61" s="73">
        <f>B61/B56</f>
        <v>0.10952380952380952</v>
      </c>
      <c r="Q61" s="4"/>
    </row>
    <row r="62" spans="1:21" x14ac:dyDescent="0.3">
      <c r="A62" s="6" t="s">
        <v>53</v>
      </c>
      <c r="B62" s="35">
        <f>SUM(E37:E39)</f>
        <v>245</v>
      </c>
      <c r="C62" s="64">
        <f>B62/B56</f>
        <v>0.11666666666666667</v>
      </c>
      <c r="Q62" s="4"/>
    </row>
    <row r="63" spans="1:21" x14ac:dyDescent="0.3">
      <c r="A63" s="74" t="s">
        <v>64</v>
      </c>
      <c r="B63" s="75">
        <f>B56-SUM(B57:B62)</f>
        <v>118.97000000000003</v>
      </c>
      <c r="C63" s="76">
        <f>Tabelle12[[#This Row],[Budget]]/B56</f>
        <v>5.6652380952380968E-2</v>
      </c>
      <c r="Q63" s="4"/>
    </row>
    <row r="64" spans="1:21" x14ac:dyDescent="0.3">
      <c r="Q64" s="4"/>
    </row>
    <row r="65" spans="17:17" x14ac:dyDescent="0.3">
      <c r="Q65" s="4"/>
    </row>
    <row r="66" spans="17:17" x14ac:dyDescent="0.3">
      <c r="Q66" s="4"/>
    </row>
    <row r="67" spans="17:17" x14ac:dyDescent="0.3">
      <c r="Q67" s="4"/>
    </row>
    <row r="68" spans="17:17" x14ac:dyDescent="0.3">
      <c r="Q68" s="4"/>
    </row>
    <row r="69" spans="17:17" x14ac:dyDescent="0.3">
      <c r="Q69" s="4"/>
    </row>
    <row r="70" spans="17:17" x14ac:dyDescent="0.3">
      <c r="Q70" s="4"/>
    </row>
    <row r="71" spans="17:17" x14ac:dyDescent="0.3">
      <c r="Q71" s="4"/>
    </row>
  </sheetData>
  <phoneticPr fontId="3" type="noConversion"/>
  <conditionalFormatting sqref="G36:G49 G2:G34">
    <cfRule type="cellIs" dxfId="8" priority="4" operator="greaterThan">
      <formula>0.75</formula>
    </cfRule>
    <cfRule type="cellIs" dxfId="7" priority="5" operator="between">
      <formula>0.501</formula>
      <formula>0.75</formula>
    </cfRule>
    <cfRule type="cellIs" dxfId="6" priority="6" operator="lessThanOrEqual">
      <formula>0.5</formula>
    </cfRule>
  </conditionalFormatting>
  <conditionalFormatting sqref="G35">
    <cfRule type="cellIs" dxfId="5" priority="1" operator="greaterThan">
      <formula>0.75</formula>
    </cfRule>
    <cfRule type="cellIs" dxfId="4" priority="2" operator="between">
      <formula>0.501</formula>
      <formula>0.75</formula>
    </cfRule>
    <cfRule type="cellIs" dxfId="3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P36:U39 P29:U34 P2:U27" calculatedColumn="1"/>
  </ignoredErrors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0"/>
  <dimension ref="A1:L93"/>
  <sheetViews>
    <sheetView zoomScale="80" zoomScaleNormal="100" workbookViewId="0">
      <selection activeCell="I23" sqref="I23"/>
    </sheetView>
  </sheetViews>
  <sheetFormatPr baseColWidth="10" defaultColWidth="11.5546875" defaultRowHeight="14.4" x14ac:dyDescent="0.3"/>
  <cols>
    <col min="1" max="1" width="11.5546875" style="4"/>
    <col min="2" max="2" width="19.109375" style="4" customWidth="1"/>
    <col min="3" max="3" width="11.5546875" style="3"/>
    <col min="4" max="4" width="16.44140625" style="4" bestFit="1" customWidth="1"/>
    <col min="5" max="5" width="11.5546875" style="4"/>
    <col min="6" max="6" width="13.5546875" style="3" bestFit="1" customWidth="1"/>
    <col min="7" max="7" width="19.6640625" style="4" bestFit="1" customWidth="1"/>
    <col min="8" max="8" width="11.5546875" style="3"/>
    <col min="9" max="9" width="11.5546875" style="4"/>
    <col min="10" max="10" width="20" style="4" bestFit="1" customWidth="1"/>
    <col min="11" max="11" width="13.5546875" style="4" customWidth="1"/>
    <col min="12" max="13" width="12.6640625" style="4" bestFit="1" customWidth="1"/>
    <col min="14" max="16384" width="11.5546875" style="4"/>
  </cols>
  <sheetData>
    <row r="1" spans="1:12" x14ac:dyDescent="0.3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3">
      <c r="A2" s="67">
        <v>43831</v>
      </c>
      <c r="B2" s="1" t="s">
        <v>10</v>
      </c>
      <c r="C2" s="62">
        <v>2000</v>
      </c>
      <c r="D2" s="1"/>
      <c r="H2" s="4"/>
    </row>
    <row r="3" spans="1:12" x14ac:dyDescent="0.3">
      <c r="A3" s="67">
        <v>43862</v>
      </c>
      <c r="B3" s="1" t="s">
        <v>54</v>
      </c>
      <c r="C3" s="62">
        <v>200</v>
      </c>
      <c r="D3" s="1"/>
      <c r="F3" s="4"/>
      <c r="H3" s="4"/>
    </row>
    <row r="4" spans="1:12" x14ac:dyDescent="0.3">
      <c r="A4" s="68"/>
      <c r="B4" s="1" t="s">
        <v>3</v>
      </c>
      <c r="C4" s="36">
        <v>300</v>
      </c>
      <c r="D4" s="1"/>
      <c r="F4" s="4"/>
      <c r="H4" s="4"/>
    </row>
    <row r="5" spans="1:12" x14ac:dyDescent="0.3">
      <c r="A5" s="67"/>
      <c r="B5" s="1" t="s">
        <v>6</v>
      </c>
      <c r="C5" s="36">
        <v>70</v>
      </c>
      <c r="D5" s="1" t="s">
        <v>100</v>
      </c>
      <c r="F5" s="4"/>
      <c r="G5" s="1" t="s">
        <v>80</v>
      </c>
      <c r="H5" s="1" t="s">
        <v>82</v>
      </c>
      <c r="J5" s="1" t="s">
        <v>81</v>
      </c>
      <c r="K5" s="1" t="s">
        <v>83</v>
      </c>
    </row>
    <row r="6" spans="1:12" x14ac:dyDescent="0.3">
      <c r="A6" s="67">
        <v>43891</v>
      </c>
      <c r="B6" s="1" t="s">
        <v>37</v>
      </c>
      <c r="C6" s="36">
        <v>100</v>
      </c>
      <c r="D6" s="1"/>
      <c r="F6" s="4"/>
      <c r="H6" s="4"/>
    </row>
    <row r="7" spans="1:12" x14ac:dyDescent="0.3">
      <c r="A7" s="67"/>
      <c r="B7" s="1" t="s">
        <v>7</v>
      </c>
      <c r="C7" s="36">
        <v>50</v>
      </c>
      <c r="D7" s="1"/>
      <c r="F7" s="4"/>
      <c r="H7" s="4"/>
    </row>
    <row r="8" spans="1:12" x14ac:dyDescent="0.3">
      <c r="A8" s="67"/>
      <c r="B8" s="1" t="s">
        <v>13</v>
      </c>
      <c r="C8" s="36">
        <v>150</v>
      </c>
      <c r="D8" s="1"/>
      <c r="F8" s="4"/>
      <c r="H8" s="4"/>
    </row>
    <row r="9" spans="1:12" x14ac:dyDescent="0.3">
      <c r="A9" s="67"/>
      <c r="B9" s="1" t="s">
        <v>96</v>
      </c>
      <c r="C9" s="62">
        <v>75</v>
      </c>
      <c r="D9" s="1"/>
      <c r="F9" s="4"/>
      <c r="H9" s="4"/>
    </row>
    <row r="10" spans="1:12" x14ac:dyDescent="0.3">
      <c r="A10" s="67"/>
      <c r="B10" s="1" t="s">
        <v>85</v>
      </c>
      <c r="C10" s="36">
        <v>349</v>
      </c>
      <c r="D10" s="1" t="s">
        <v>99</v>
      </c>
      <c r="F10" s="4"/>
      <c r="H10" s="4"/>
    </row>
    <row r="11" spans="1:12" x14ac:dyDescent="0.3">
      <c r="A11" s="67">
        <v>44013</v>
      </c>
      <c r="B11" s="1" t="s">
        <v>9</v>
      </c>
      <c r="C11" s="36">
        <v>49.99</v>
      </c>
      <c r="D11" s="1" t="s">
        <v>101</v>
      </c>
      <c r="F11" s="4"/>
      <c r="H11" s="4"/>
    </row>
    <row r="12" spans="1:12" x14ac:dyDescent="0.3">
      <c r="A12" s="67"/>
      <c r="B12" s="1"/>
      <c r="C12" s="36"/>
      <c r="D12" s="1"/>
      <c r="F12" s="4"/>
      <c r="H12" s="4"/>
    </row>
    <row r="13" spans="1:12" x14ac:dyDescent="0.3">
      <c r="A13" s="67"/>
      <c r="B13" s="1"/>
      <c r="C13" s="36"/>
      <c r="D13" s="1"/>
      <c r="F13" s="4"/>
      <c r="H13" s="4"/>
    </row>
    <row r="14" spans="1:12" x14ac:dyDescent="0.3">
      <c r="A14" s="67"/>
      <c r="B14" s="1"/>
      <c r="C14" s="36"/>
      <c r="D14" s="1"/>
      <c r="F14" s="4"/>
      <c r="H14" s="4"/>
    </row>
    <row r="15" spans="1:12" x14ac:dyDescent="0.3">
      <c r="A15" s="67"/>
      <c r="B15" s="1"/>
      <c r="C15" s="36"/>
      <c r="D15" s="1"/>
      <c r="F15" s="4"/>
      <c r="H15" s="4"/>
    </row>
    <row r="16" spans="1:12" x14ac:dyDescent="0.3">
      <c r="A16" s="67"/>
      <c r="B16" s="1"/>
      <c r="C16" s="36"/>
      <c r="D16" s="1"/>
      <c r="F16" s="4"/>
      <c r="H16" s="4"/>
    </row>
    <row r="17" spans="1:8" x14ac:dyDescent="0.3">
      <c r="A17" s="67"/>
      <c r="B17" s="1"/>
      <c r="C17" s="36"/>
      <c r="D17" s="1"/>
      <c r="F17" s="4"/>
      <c r="H17" s="4"/>
    </row>
    <row r="18" spans="1:8" x14ac:dyDescent="0.3">
      <c r="A18" s="67"/>
      <c r="B18" s="1"/>
      <c r="C18" s="62"/>
      <c r="D18" s="1"/>
      <c r="F18" s="4"/>
      <c r="H18" s="4"/>
    </row>
    <row r="19" spans="1:8" x14ac:dyDescent="0.3">
      <c r="A19" s="67"/>
      <c r="B19" s="1"/>
      <c r="C19" s="36"/>
      <c r="D19" s="1"/>
      <c r="F19" s="4"/>
      <c r="H19" s="4"/>
    </row>
    <row r="20" spans="1:8" x14ac:dyDescent="0.3">
      <c r="A20" s="67"/>
      <c r="B20" s="1"/>
      <c r="C20" s="36"/>
      <c r="D20" s="1"/>
      <c r="F20" s="4"/>
      <c r="H20" s="4"/>
    </row>
    <row r="21" spans="1:8" x14ac:dyDescent="0.3">
      <c r="A21" s="67"/>
      <c r="B21" s="1"/>
      <c r="C21" s="36"/>
      <c r="D21" s="1"/>
      <c r="F21" s="4"/>
      <c r="H21" s="4"/>
    </row>
    <row r="22" spans="1:8" x14ac:dyDescent="0.3">
      <c r="A22" s="67"/>
      <c r="B22" s="1"/>
      <c r="C22" s="36"/>
      <c r="D22" s="1"/>
      <c r="F22" s="4"/>
      <c r="H22" s="4"/>
    </row>
    <row r="23" spans="1:8" x14ac:dyDescent="0.3">
      <c r="A23" s="68"/>
      <c r="B23" s="1"/>
      <c r="C23" s="36"/>
      <c r="D23" s="1"/>
      <c r="F23" s="4"/>
      <c r="H23" s="4"/>
    </row>
    <row r="24" spans="1:8" x14ac:dyDescent="0.3">
      <c r="A24" s="67"/>
      <c r="B24" s="1"/>
      <c r="C24" s="36"/>
      <c r="D24" s="1"/>
      <c r="F24" s="4"/>
      <c r="H24" s="4"/>
    </row>
    <row r="25" spans="1:8" x14ac:dyDescent="0.3">
      <c r="A25" s="67"/>
      <c r="B25" s="1"/>
      <c r="C25" s="36"/>
      <c r="D25" s="1"/>
      <c r="F25" s="4"/>
      <c r="H25" s="4"/>
    </row>
    <row r="26" spans="1:8" x14ac:dyDescent="0.3">
      <c r="A26" s="67"/>
      <c r="B26" s="1"/>
      <c r="C26" s="36"/>
      <c r="D26" s="1"/>
      <c r="F26" s="4"/>
      <c r="H26" s="4"/>
    </row>
    <row r="27" spans="1:8" x14ac:dyDescent="0.3">
      <c r="A27" s="68"/>
      <c r="B27" s="1"/>
      <c r="C27" s="36"/>
      <c r="D27" s="1"/>
      <c r="F27" s="4"/>
      <c r="H27" s="4"/>
    </row>
    <row r="28" spans="1:8" x14ac:dyDescent="0.3">
      <c r="A28" s="68"/>
      <c r="B28" s="1"/>
      <c r="C28" s="36"/>
      <c r="D28" s="1"/>
      <c r="F28" s="4"/>
      <c r="H28" s="4"/>
    </row>
    <row r="29" spans="1:8" x14ac:dyDescent="0.3">
      <c r="A29" s="68"/>
      <c r="B29" s="1"/>
      <c r="C29" s="62"/>
      <c r="D29" s="1"/>
      <c r="F29" s="4"/>
      <c r="H29" s="4"/>
    </row>
    <row r="30" spans="1:8" x14ac:dyDescent="0.3">
      <c r="A30" s="68"/>
      <c r="B30" s="1"/>
      <c r="C30" s="36"/>
      <c r="D30" s="1"/>
      <c r="F30" s="4"/>
      <c r="H30" s="4"/>
    </row>
    <row r="31" spans="1:8" x14ac:dyDescent="0.3">
      <c r="A31" s="68"/>
      <c r="B31" s="1"/>
      <c r="C31" s="36"/>
      <c r="D31" s="1"/>
    </row>
    <row r="32" spans="1:8" x14ac:dyDescent="0.3">
      <c r="A32" s="68"/>
      <c r="B32" s="1"/>
      <c r="C32" s="62"/>
      <c r="D32" s="1"/>
    </row>
    <row r="33" spans="1:4" x14ac:dyDescent="0.3">
      <c r="A33" s="68"/>
      <c r="B33" s="1"/>
      <c r="C33" s="62"/>
      <c r="D33" s="1"/>
    </row>
    <row r="34" spans="1:4" x14ac:dyDescent="0.3">
      <c r="A34" s="68"/>
      <c r="B34" s="1"/>
      <c r="C34" s="62"/>
      <c r="D34" s="1"/>
    </row>
    <row r="35" spans="1:4" x14ac:dyDescent="0.3">
      <c r="A35" s="68"/>
      <c r="B35" s="1"/>
      <c r="C35" s="62"/>
      <c r="D35" s="1"/>
    </row>
    <row r="36" spans="1:4" x14ac:dyDescent="0.3">
      <c r="A36" s="68"/>
      <c r="B36" s="1"/>
      <c r="C36" s="36"/>
      <c r="D36" s="1"/>
    </row>
    <row r="37" spans="1:4" x14ac:dyDescent="0.3">
      <c r="A37" s="68"/>
      <c r="B37" s="1"/>
      <c r="C37" s="36"/>
      <c r="D37" s="1"/>
    </row>
    <row r="38" spans="1:4" x14ac:dyDescent="0.3">
      <c r="A38" s="68"/>
      <c r="B38" s="1"/>
      <c r="C38" s="36"/>
      <c r="D38" s="1"/>
    </row>
    <row r="39" spans="1:4" x14ac:dyDescent="0.3">
      <c r="A39" s="68"/>
      <c r="B39" s="1"/>
      <c r="C39" s="36"/>
      <c r="D39" s="1"/>
    </row>
    <row r="40" spans="1:4" x14ac:dyDescent="0.3">
      <c r="A40" s="68"/>
      <c r="B40" s="1"/>
      <c r="C40" s="36"/>
      <c r="D40" s="1"/>
    </row>
    <row r="41" spans="1:4" x14ac:dyDescent="0.3">
      <c r="A41" s="68"/>
      <c r="B41" s="1"/>
      <c r="C41" s="36"/>
      <c r="D41" s="1"/>
    </row>
    <row r="42" spans="1:4" x14ac:dyDescent="0.3">
      <c r="A42" s="68"/>
      <c r="B42" s="1"/>
      <c r="C42" s="36"/>
      <c r="D42" s="1"/>
    </row>
    <row r="43" spans="1:4" x14ac:dyDescent="0.3">
      <c r="A43" s="68"/>
      <c r="B43" s="1"/>
      <c r="C43" s="36"/>
      <c r="D43" s="1"/>
    </row>
    <row r="44" spans="1:4" x14ac:dyDescent="0.3">
      <c r="A44" s="68"/>
      <c r="B44" s="1"/>
      <c r="C44" s="36"/>
      <c r="D44" s="1"/>
    </row>
    <row r="45" spans="1:4" x14ac:dyDescent="0.3">
      <c r="A45" s="68"/>
      <c r="B45" s="1"/>
      <c r="C45" s="36"/>
      <c r="D45" s="1"/>
    </row>
    <row r="46" spans="1:4" x14ac:dyDescent="0.3">
      <c r="A46" s="68"/>
      <c r="B46" s="1"/>
      <c r="C46" s="36"/>
      <c r="D46" s="1"/>
    </row>
    <row r="47" spans="1:4" x14ac:dyDescent="0.3">
      <c r="A47" s="68"/>
      <c r="B47" s="1"/>
      <c r="C47" s="36"/>
      <c r="D47" s="1"/>
    </row>
    <row r="48" spans="1:4" x14ac:dyDescent="0.3">
      <c r="A48" s="68"/>
      <c r="B48" s="1"/>
      <c r="C48" s="36"/>
      <c r="D48" s="1"/>
    </row>
    <row r="49" spans="1:4" x14ac:dyDescent="0.3">
      <c r="A49" s="68"/>
      <c r="B49" s="1"/>
      <c r="C49" s="36"/>
      <c r="D49" s="1"/>
    </row>
    <row r="50" spans="1:4" x14ac:dyDescent="0.3">
      <c r="A50" s="67"/>
      <c r="B50" s="1"/>
      <c r="C50" s="36"/>
      <c r="D50" s="1"/>
    </row>
    <row r="51" spans="1:4" x14ac:dyDescent="0.3">
      <c r="A51" s="68"/>
      <c r="B51" s="1"/>
      <c r="C51" s="36"/>
      <c r="D51" s="1"/>
    </row>
    <row r="52" spans="1:4" x14ac:dyDescent="0.3">
      <c r="A52" s="68"/>
      <c r="B52" s="1"/>
      <c r="C52" s="36"/>
      <c r="D52" s="1"/>
    </row>
    <row r="53" spans="1:4" x14ac:dyDescent="0.3">
      <c r="A53" s="67"/>
      <c r="B53" s="1"/>
      <c r="C53" s="36"/>
      <c r="D53" s="1"/>
    </row>
    <row r="54" spans="1:4" x14ac:dyDescent="0.3">
      <c r="A54" s="67"/>
      <c r="B54" s="1"/>
      <c r="C54" s="36"/>
      <c r="D54" s="1"/>
    </row>
    <row r="55" spans="1:4" x14ac:dyDescent="0.3">
      <c r="A55" s="67"/>
      <c r="B55" s="1"/>
      <c r="C55" s="36"/>
      <c r="D55" s="1"/>
    </row>
    <row r="56" spans="1:4" x14ac:dyDescent="0.3">
      <c r="A56" s="68"/>
      <c r="B56" s="1"/>
      <c r="C56" s="36"/>
      <c r="D56" s="1"/>
    </row>
    <row r="57" spans="1:4" x14ac:dyDescent="0.3">
      <c r="A57" s="67"/>
      <c r="B57" s="1"/>
      <c r="C57" s="36"/>
      <c r="D57" s="1"/>
    </row>
    <row r="58" spans="1:4" x14ac:dyDescent="0.3">
      <c r="A58" s="68"/>
      <c r="B58" s="1"/>
      <c r="C58" s="36"/>
      <c r="D58" s="1"/>
    </row>
    <row r="59" spans="1:4" x14ac:dyDescent="0.3">
      <c r="A59" s="67"/>
      <c r="B59" s="1"/>
      <c r="C59" s="36"/>
      <c r="D59" s="1"/>
    </row>
    <row r="60" spans="1:4" x14ac:dyDescent="0.3">
      <c r="A60" s="67"/>
      <c r="B60" s="1"/>
      <c r="C60" s="36"/>
      <c r="D60" s="1"/>
    </row>
    <row r="61" spans="1:4" x14ac:dyDescent="0.3">
      <c r="A61" s="67"/>
      <c r="B61" s="1"/>
      <c r="C61" s="36"/>
      <c r="D61" s="1"/>
    </row>
    <row r="62" spans="1:4" x14ac:dyDescent="0.3">
      <c r="A62" s="67"/>
      <c r="B62" s="1"/>
      <c r="C62" s="36"/>
      <c r="D62" s="1"/>
    </row>
    <row r="63" spans="1:4" x14ac:dyDescent="0.3">
      <c r="A63" s="67"/>
      <c r="B63" s="1"/>
      <c r="C63" s="62"/>
      <c r="D63" s="1"/>
    </row>
    <row r="64" spans="1:4" x14ac:dyDescent="0.3">
      <c r="A64" s="67"/>
      <c r="B64" s="1"/>
      <c r="C64" s="36"/>
      <c r="D64" s="1"/>
    </row>
    <row r="65" spans="1:4" x14ac:dyDescent="0.3">
      <c r="A65" s="67"/>
      <c r="C65" s="36"/>
      <c r="D65" s="1"/>
    </row>
    <row r="66" spans="1:4" x14ac:dyDescent="0.3">
      <c r="A66" s="67"/>
      <c r="B66" s="1"/>
      <c r="C66" s="36"/>
      <c r="D66" s="1"/>
    </row>
    <row r="67" spans="1:4" x14ac:dyDescent="0.3">
      <c r="A67" s="68"/>
      <c r="C67" s="36"/>
      <c r="D67" s="1"/>
    </row>
    <row r="68" spans="1:4" x14ac:dyDescent="0.3">
      <c r="A68" s="68"/>
      <c r="B68" s="1"/>
      <c r="C68" s="36"/>
      <c r="D68" s="1"/>
    </row>
    <row r="69" spans="1:4" x14ac:dyDescent="0.3">
      <c r="A69" s="67"/>
      <c r="B69" s="1"/>
      <c r="C69" s="36"/>
      <c r="D69" s="1"/>
    </row>
    <row r="70" spans="1:4" x14ac:dyDescent="0.3">
      <c r="A70" s="67"/>
      <c r="C70" s="36"/>
      <c r="D70" s="1"/>
    </row>
    <row r="71" spans="1:4" x14ac:dyDescent="0.3">
      <c r="A71" s="67"/>
      <c r="B71" s="1"/>
      <c r="C71" s="36"/>
      <c r="D71" s="1"/>
    </row>
    <row r="72" spans="1:4" x14ac:dyDescent="0.3">
      <c r="A72" s="67"/>
      <c r="B72" s="1"/>
      <c r="C72" s="36"/>
      <c r="D72" s="1"/>
    </row>
    <row r="73" spans="1:4" x14ac:dyDescent="0.3">
      <c r="A73" s="68"/>
      <c r="C73" s="36"/>
      <c r="D73" s="1"/>
    </row>
    <row r="74" spans="1:4" x14ac:dyDescent="0.3">
      <c r="A74" s="7"/>
      <c r="D74" s="1"/>
    </row>
    <row r="75" spans="1:4" x14ac:dyDescent="0.3">
      <c r="A75" s="7"/>
      <c r="B75" s="1"/>
      <c r="D75" s="1"/>
    </row>
    <row r="76" spans="1:4" x14ac:dyDescent="0.3">
      <c r="A76" s="7"/>
      <c r="B76" s="1"/>
      <c r="D76" s="1"/>
    </row>
    <row r="77" spans="1:4" x14ac:dyDescent="0.3">
      <c r="A77" s="7"/>
      <c r="B77" s="1"/>
      <c r="D77" s="1"/>
    </row>
    <row r="78" spans="1:4" x14ac:dyDescent="0.3">
      <c r="A78" s="7"/>
      <c r="B78" s="1"/>
      <c r="D78" s="1"/>
    </row>
    <row r="79" spans="1:4" x14ac:dyDescent="0.3">
      <c r="A79" s="7"/>
      <c r="B79" s="1"/>
      <c r="D79" s="1"/>
    </row>
    <row r="80" spans="1:4" x14ac:dyDescent="0.3">
      <c r="A80" s="7"/>
      <c r="B80" s="1"/>
      <c r="D80" s="1"/>
    </row>
    <row r="81" spans="1:4" x14ac:dyDescent="0.3">
      <c r="A81" s="7"/>
      <c r="D81" s="1"/>
    </row>
    <row r="82" spans="1:4" x14ac:dyDescent="0.3">
      <c r="A82" s="7"/>
      <c r="B82" s="1"/>
      <c r="D82" s="1"/>
    </row>
    <row r="83" spans="1:4" x14ac:dyDescent="0.3">
      <c r="A83" s="7"/>
      <c r="D83" s="1"/>
    </row>
    <row r="84" spans="1:4" x14ac:dyDescent="0.3">
      <c r="A84" s="7"/>
      <c r="D84" s="1"/>
    </row>
    <row r="85" spans="1:4" x14ac:dyDescent="0.3">
      <c r="A85" s="7"/>
      <c r="D85" s="1"/>
    </row>
    <row r="86" spans="1:4" x14ac:dyDescent="0.3">
      <c r="A86" s="7"/>
      <c r="D86" s="1"/>
    </row>
    <row r="87" spans="1:4" x14ac:dyDescent="0.3">
      <c r="A87" s="7"/>
      <c r="D87" s="1"/>
    </row>
    <row r="88" spans="1:4" x14ac:dyDescent="0.3">
      <c r="A88" s="7"/>
      <c r="D88" s="1"/>
    </row>
    <row r="89" spans="1:4" x14ac:dyDescent="0.3">
      <c r="A89" s="7"/>
      <c r="D89" s="1"/>
    </row>
    <row r="90" spans="1:4" x14ac:dyDescent="0.3">
      <c r="A90" s="7"/>
      <c r="D90" s="1"/>
    </row>
    <row r="91" spans="1:4" x14ac:dyDescent="0.3">
      <c r="A91" s="7"/>
      <c r="D91" s="1"/>
    </row>
    <row r="92" spans="1:4" x14ac:dyDescent="0.3">
      <c r="A92" s="7"/>
      <c r="D92" s="1"/>
    </row>
    <row r="93" spans="1:4" x14ac:dyDescent="0.3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8</xdr:col>
                    <xdr:colOff>22860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7620</xdr:colOff>
                    <xdr:row>0</xdr:row>
                    <xdr:rowOff>182880</xdr:rowOff>
                  </from>
                  <to>
                    <xdr:col>10</xdr:col>
                    <xdr:colOff>495300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Annual!$C$2:$C$39</xm:f>
          </x14:formula1>
          <xm:sqref>B2:B57</xm:sqref>
        </x14:dataValidation>
        <x14:dataValidation type="list" allowBlank="1" showInputMessage="1" showErrorMessage="1" xr:uid="{00000000-0002-0000-0200-000001000000}">
          <x14:formula1>
            <xm:f>Annual!$C$2:$C$38</xm:f>
          </x14:formula1>
          <xm:sqref>B1 B58:B1048576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W49"/>
  <sheetViews>
    <sheetView zoomScale="80" zoomScaleNormal="80" workbookViewId="0"/>
  </sheetViews>
  <sheetFormatPr baseColWidth="10" defaultColWidth="11.5546875" defaultRowHeight="14.4" x14ac:dyDescent="0.3"/>
  <cols>
    <col min="1" max="1" width="18.21875" style="4" bestFit="1" customWidth="1"/>
    <col min="2" max="2" width="16.21875" style="4" bestFit="1" customWidth="1"/>
    <col min="3" max="3" width="20" style="4" bestFit="1" customWidth="1"/>
    <col min="4" max="4" width="12.88671875" style="4" bestFit="1" customWidth="1"/>
    <col min="5" max="5" width="17.6640625" style="4" bestFit="1" customWidth="1"/>
    <col min="6" max="6" width="16.33203125" style="4" customWidth="1"/>
    <col min="7" max="7" width="11.5546875" style="63"/>
    <col min="8" max="16384" width="11.5546875" style="4"/>
  </cols>
  <sheetData>
    <row r="1" spans="1:23" x14ac:dyDescent="0.3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56</v>
      </c>
      <c r="F1" s="45" t="s">
        <v>1</v>
      </c>
      <c r="G1" s="4"/>
      <c r="H1" s="63"/>
      <c r="I1" s="69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</row>
    <row r="2" spans="1:23" x14ac:dyDescent="0.3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G2" s="4"/>
      <c r="H2" s="63"/>
      <c r="I2" s="69"/>
      <c r="J2" s="69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</row>
    <row r="3" spans="1:23" x14ac:dyDescent="0.3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G3" s="4"/>
      <c r="H3" s="63"/>
      <c r="I3" s="69"/>
      <c r="J3" s="69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</row>
    <row r="4" spans="1:23" x14ac:dyDescent="0.3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G4" s="4"/>
      <c r="H4" s="63"/>
      <c r="I4" s="69"/>
      <c r="J4" s="69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</row>
    <row r="5" spans="1:23" x14ac:dyDescent="0.3">
      <c r="A5" s="50"/>
      <c r="B5" s="51"/>
      <c r="C5" s="51" t="s">
        <v>6</v>
      </c>
      <c r="D5" s="39">
        <v>70</v>
      </c>
      <c r="E5" s="39">
        <v>100</v>
      </c>
      <c r="F5" s="39">
        <v>30</v>
      </c>
      <c r="G5" s="4"/>
      <c r="H5" s="63"/>
      <c r="I5" s="69"/>
      <c r="J5" s="69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3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G6" s="4"/>
      <c r="H6" s="63"/>
      <c r="I6" s="69"/>
      <c r="J6" s="69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3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G7" s="4"/>
      <c r="H7" s="63"/>
      <c r="I7" s="69"/>
      <c r="J7" s="69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3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G8" s="4"/>
      <c r="H8" s="63"/>
      <c r="I8" s="69"/>
      <c r="J8" s="69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3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G9" s="4"/>
      <c r="H9" s="63"/>
      <c r="I9" s="69"/>
      <c r="J9" s="69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1:23" x14ac:dyDescent="0.3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G10" s="4"/>
      <c r="H10" s="63"/>
      <c r="I10" s="69"/>
      <c r="J10" s="69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1:23" x14ac:dyDescent="0.3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G11" s="4"/>
      <c r="H11" s="63"/>
      <c r="I11" s="69"/>
      <c r="J11" s="69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x14ac:dyDescent="0.3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G12" s="4"/>
      <c r="H12" s="63"/>
      <c r="I12" s="69"/>
      <c r="J12" s="69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  <row r="13" spans="1:23" x14ac:dyDescent="0.3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G13" s="4"/>
      <c r="H13" s="63"/>
      <c r="I13" s="69"/>
      <c r="J13" s="69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23" x14ac:dyDescent="0.3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G14" s="4"/>
      <c r="H14" s="63"/>
      <c r="I14" s="69"/>
      <c r="J14" s="69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23" x14ac:dyDescent="0.3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G15" s="4"/>
      <c r="H15" s="63"/>
      <c r="I15" s="69"/>
      <c r="J15" s="69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23" x14ac:dyDescent="0.3">
      <c r="A16" s="52"/>
      <c r="B16" s="54"/>
      <c r="C16" s="54" t="s">
        <v>51</v>
      </c>
      <c r="D16" s="41">
        <v>0</v>
      </c>
      <c r="E16" s="41">
        <v>10</v>
      </c>
      <c r="F16" s="41">
        <v>10</v>
      </c>
      <c r="G16" s="4"/>
      <c r="H16" s="63"/>
      <c r="I16" s="69"/>
      <c r="J16" s="69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50"/>
      <c r="B17" s="54"/>
      <c r="C17" s="54" t="s">
        <v>9</v>
      </c>
      <c r="D17" s="41">
        <v>49.99</v>
      </c>
      <c r="E17" s="41">
        <v>30</v>
      </c>
      <c r="F17" s="41">
        <v>-19.990000000000002</v>
      </c>
      <c r="G17" s="4"/>
      <c r="H17" s="63"/>
      <c r="I17" s="69"/>
      <c r="J17" s="69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18" spans="1:23" x14ac:dyDescent="0.3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G18" s="4"/>
      <c r="H18" s="63"/>
      <c r="I18" s="69"/>
      <c r="J18" s="69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</row>
    <row r="19" spans="1:23" x14ac:dyDescent="0.3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G19" s="4"/>
      <c r="H19" s="63"/>
      <c r="I19" s="69"/>
      <c r="J19" s="69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</row>
    <row r="20" spans="1:23" x14ac:dyDescent="0.3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G20" s="4"/>
      <c r="H20" s="63"/>
      <c r="I20" s="69"/>
      <c r="J20" s="69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</row>
    <row r="21" spans="1:23" x14ac:dyDescent="0.3">
      <c r="A21" s="50"/>
      <c r="B21" s="54"/>
      <c r="C21" s="54" t="s">
        <v>55</v>
      </c>
      <c r="D21" s="41">
        <v>0</v>
      </c>
      <c r="E21" s="41">
        <v>5</v>
      </c>
      <c r="F21" s="41">
        <v>5</v>
      </c>
      <c r="G21" s="4"/>
      <c r="H21" s="63"/>
      <c r="I21" s="69"/>
      <c r="J21" s="69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</row>
    <row r="22" spans="1:23" x14ac:dyDescent="0.3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G22" s="4"/>
      <c r="H22" s="63"/>
      <c r="I22" s="69"/>
      <c r="J22" s="69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</row>
    <row r="23" spans="1:23" x14ac:dyDescent="0.3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G23" s="4"/>
      <c r="H23" s="63"/>
      <c r="I23" s="69"/>
      <c r="J23" s="69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</row>
    <row r="24" spans="1:23" x14ac:dyDescent="0.3">
      <c r="A24" s="52"/>
      <c r="B24" s="54"/>
      <c r="C24" s="54" t="s">
        <v>85</v>
      </c>
      <c r="D24" s="41">
        <v>349</v>
      </c>
      <c r="E24" s="41">
        <v>30</v>
      </c>
      <c r="F24" s="41">
        <v>-319</v>
      </c>
      <c r="G24" s="4"/>
      <c r="H24" s="63"/>
      <c r="I24" s="69"/>
      <c r="J24" s="69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</row>
    <row r="25" spans="1:23" x14ac:dyDescent="0.3">
      <c r="A25" s="50"/>
      <c r="B25" s="54"/>
      <c r="C25" s="54" t="s">
        <v>75</v>
      </c>
      <c r="D25" s="41">
        <v>0</v>
      </c>
      <c r="E25" s="41">
        <v>10</v>
      </c>
      <c r="F25" s="41">
        <v>10</v>
      </c>
      <c r="G25" s="4"/>
      <c r="H25" s="63"/>
      <c r="I25" s="69"/>
      <c r="J25" s="69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3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G26" s="4"/>
      <c r="H26" s="63"/>
      <c r="I26" s="69"/>
      <c r="J26" s="69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50"/>
      <c r="B27" s="55" t="s">
        <v>89</v>
      </c>
      <c r="C27" s="55" t="s">
        <v>13</v>
      </c>
      <c r="D27" s="42">
        <v>150</v>
      </c>
      <c r="E27" s="42">
        <v>150</v>
      </c>
      <c r="F27" s="42">
        <v>0</v>
      </c>
      <c r="G27" s="4"/>
      <c r="H27" s="63"/>
      <c r="I27" s="69"/>
      <c r="J27" s="69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52"/>
      <c r="B28" s="55"/>
      <c r="C28" s="55" t="s">
        <v>96</v>
      </c>
      <c r="D28" s="42">
        <v>75</v>
      </c>
      <c r="E28" s="42">
        <v>75</v>
      </c>
      <c r="F28" s="42">
        <v>0</v>
      </c>
      <c r="G28" s="4"/>
      <c r="H28" s="63"/>
      <c r="I28" s="69"/>
      <c r="J28" s="69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50"/>
      <c r="B29" s="55"/>
      <c r="C29" s="55" t="s">
        <v>23</v>
      </c>
      <c r="D29" s="42">
        <v>0</v>
      </c>
      <c r="E29" s="42">
        <v>0.01</v>
      </c>
      <c r="F29" s="42">
        <v>0.01</v>
      </c>
      <c r="G29" s="4"/>
      <c r="H29" s="63"/>
      <c r="I29" s="69"/>
      <c r="J29" s="69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52"/>
      <c r="B30" s="55"/>
      <c r="C30" s="55" t="s">
        <v>50</v>
      </c>
      <c r="D30" s="42">
        <v>0</v>
      </c>
      <c r="E30" s="42">
        <v>100</v>
      </c>
      <c r="F30" s="42">
        <v>100</v>
      </c>
      <c r="G30" s="4"/>
      <c r="H30" s="63"/>
      <c r="I30" s="69"/>
      <c r="J30" s="69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3">
      <c r="A31" s="50"/>
      <c r="B31" s="55"/>
      <c r="C31" s="55" t="s">
        <v>25</v>
      </c>
      <c r="D31" s="42">
        <v>0</v>
      </c>
      <c r="E31" s="42">
        <v>0.01</v>
      </c>
      <c r="F31" s="42">
        <v>0.01</v>
      </c>
      <c r="G31" s="4"/>
      <c r="H31" s="63"/>
      <c r="I31" s="69"/>
      <c r="J31" s="69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3">
      <c r="A32" s="52"/>
      <c r="B32" s="55"/>
      <c r="C32" s="55" t="s">
        <v>33</v>
      </c>
      <c r="D32" s="42">
        <v>0</v>
      </c>
      <c r="E32" s="42">
        <v>30</v>
      </c>
      <c r="F32" s="42">
        <v>30</v>
      </c>
      <c r="G32" s="4"/>
      <c r="H32" s="63"/>
      <c r="I32" s="69"/>
      <c r="J32" s="69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3">
      <c r="A33" s="50"/>
      <c r="B33" s="56" t="s">
        <v>45</v>
      </c>
      <c r="C33" s="56" t="s">
        <v>37</v>
      </c>
      <c r="D33" s="43">
        <v>100</v>
      </c>
      <c r="E33" s="43">
        <v>100</v>
      </c>
      <c r="F33" s="43">
        <v>0</v>
      </c>
      <c r="G33" s="4"/>
      <c r="H33" s="63"/>
      <c r="I33" s="69"/>
      <c r="J33" s="69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3">
      <c r="A34" s="52"/>
      <c r="B34" s="56"/>
      <c r="C34" s="56" t="s">
        <v>95</v>
      </c>
      <c r="D34" s="43">
        <v>0</v>
      </c>
      <c r="E34" s="43">
        <v>30</v>
      </c>
      <c r="F34" s="43">
        <v>30</v>
      </c>
      <c r="G34" s="4"/>
      <c r="H34" s="63"/>
      <c r="I34" s="69"/>
      <c r="J34" s="69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3">
      <c r="A35" s="50"/>
      <c r="B35" s="56"/>
      <c r="C35" s="56" t="s">
        <v>94</v>
      </c>
      <c r="D35" s="43">
        <v>0</v>
      </c>
      <c r="E35" s="43">
        <v>50</v>
      </c>
      <c r="F35" s="43">
        <v>50</v>
      </c>
      <c r="G35" s="4"/>
      <c r="H35" s="63"/>
      <c r="I35" s="69"/>
      <c r="J35" s="69"/>
    </row>
    <row r="36" spans="1:23" x14ac:dyDescent="0.3">
      <c r="A36" s="52"/>
      <c r="B36" s="56"/>
      <c r="C36" s="56" t="s">
        <v>7</v>
      </c>
      <c r="D36" s="43">
        <v>50</v>
      </c>
      <c r="E36" s="43">
        <v>50</v>
      </c>
      <c r="F36" s="43">
        <v>0</v>
      </c>
      <c r="G36" s="4"/>
      <c r="H36" s="63"/>
      <c r="I36" s="63"/>
    </row>
    <row r="37" spans="1:23" x14ac:dyDescent="0.3">
      <c r="A37" s="66"/>
      <c r="B37" s="57" t="s">
        <v>53</v>
      </c>
      <c r="C37" s="57" t="s">
        <v>54</v>
      </c>
      <c r="D37" s="58">
        <v>200</v>
      </c>
      <c r="E37" s="44">
        <v>200</v>
      </c>
      <c r="F37" s="44">
        <v>0</v>
      </c>
      <c r="G37" s="4"/>
      <c r="H37" s="63"/>
      <c r="I37" s="63"/>
    </row>
    <row r="38" spans="1:23" x14ac:dyDescent="0.3">
      <c r="A38" s="47"/>
      <c r="B38" s="57"/>
      <c r="C38" s="57" t="s">
        <v>92</v>
      </c>
      <c r="D38" s="58">
        <v>0</v>
      </c>
      <c r="E38" s="44">
        <v>30</v>
      </c>
      <c r="F38" s="44">
        <v>30</v>
      </c>
      <c r="H38" s="63"/>
    </row>
    <row r="39" spans="1:23" x14ac:dyDescent="0.3">
      <c r="A39" s="50"/>
      <c r="B39" s="60"/>
      <c r="C39" s="60" t="s">
        <v>93</v>
      </c>
      <c r="D39" s="61">
        <v>0</v>
      </c>
      <c r="E39" s="46">
        <v>15</v>
      </c>
      <c r="F39" s="46">
        <v>15</v>
      </c>
      <c r="H39" s="63"/>
    </row>
    <row r="40" spans="1:23" x14ac:dyDescent="0.3">
      <c r="A40" s="63"/>
      <c r="B40" s="69"/>
      <c r="C40" s="69"/>
      <c r="D40" s="69"/>
      <c r="E40" s="63"/>
      <c r="F40" s="63"/>
    </row>
    <row r="41" spans="1:23" x14ac:dyDescent="0.3">
      <c r="A41" s="4" t="s">
        <v>40</v>
      </c>
      <c r="B41" s="69" t="s">
        <v>2</v>
      </c>
      <c r="C41" s="69" t="s">
        <v>39</v>
      </c>
      <c r="D41" s="69" t="s">
        <v>1</v>
      </c>
      <c r="E41" s="63" t="s">
        <v>44</v>
      </c>
      <c r="F41" s="63" t="s">
        <v>46</v>
      </c>
    </row>
    <row r="42" spans="1:23" x14ac:dyDescent="0.3">
      <c r="A42" s="4" t="s">
        <v>17</v>
      </c>
      <c r="B42" s="69">
        <v>2000</v>
      </c>
      <c r="C42" s="69">
        <v>2100</v>
      </c>
      <c r="D42" s="69">
        <v>100</v>
      </c>
      <c r="E42" s="63">
        <v>1.4881063103148089</v>
      </c>
      <c r="F42" s="63">
        <v>1</v>
      </c>
    </row>
    <row r="43" spans="1:23" x14ac:dyDescent="0.3">
      <c r="A43" s="4" t="s">
        <v>35</v>
      </c>
      <c r="B43" s="69">
        <v>70</v>
      </c>
      <c r="C43" s="69">
        <v>320.01</v>
      </c>
      <c r="D43" s="69">
        <v>250.01</v>
      </c>
      <c r="E43" s="63">
        <v>5.2083720861018312E-2</v>
      </c>
      <c r="F43" s="63">
        <v>0.15238571428571429</v>
      </c>
    </row>
    <row r="44" spans="1:23" x14ac:dyDescent="0.3">
      <c r="A44" s="4" t="s">
        <v>16</v>
      </c>
      <c r="B44" s="69">
        <v>300</v>
      </c>
      <c r="C44" s="69">
        <v>356</v>
      </c>
      <c r="D44" s="69">
        <v>56</v>
      </c>
      <c r="E44" s="63">
        <v>0.22321594654722132</v>
      </c>
      <c r="F44" s="63">
        <v>0.16952380952380952</v>
      </c>
    </row>
    <row r="45" spans="1:23" x14ac:dyDescent="0.3">
      <c r="A45" s="4" t="s">
        <v>34</v>
      </c>
      <c r="B45" s="69">
        <v>398.99</v>
      </c>
      <c r="C45" s="69">
        <v>475</v>
      </c>
      <c r="D45" s="69">
        <v>76.009999999999991</v>
      </c>
      <c r="E45" s="63">
        <v>0.29686976837625279</v>
      </c>
      <c r="F45" s="63">
        <v>0.22619047619047619</v>
      </c>
    </row>
    <row r="46" spans="1:23" x14ac:dyDescent="0.3">
      <c r="A46" s="4" t="s">
        <v>89</v>
      </c>
      <c r="B46" s="69">
        <v>225</v>
      </c>
      <c r="C46" s="69">
        <v>355.02</v>
      </c>
      <c r="D46" s="69">
        <v>130.01999999999998</v>
      </c>
      <c r="E46" s="63">
        <v>0.16741195991041599</v>
      </c>
      <c r="F46" s="63">
        <v>0.16905714285714285</v>
      </c>
    </row>
    <row r="47" spans="1:23" x14ac:dyDescent="0.3">
      <c r="A47" s="4" t="s">
        <v>45</v>
      </c>
      <c r="B47" s="69">
        <v>150</v>
      </c>
      <c r="C47" s="69">
        <v>230</v>
      </c>
      <c r="D47" s="69">
        <v>80</v>
      </c>
      <c r="E47" s="63">
        <v>0.11160797327361066</v>
      </c>
      <c r="F47" s="63">
        <v>0.10952380952380952</v>
      </c>
    </row>
    <row r="48" spans="1:23" x14ac:dyDescent="0.3">
      <c r="A48" s="4" t="s">
        <v>53</v>
      </c>
      <c r="B48" s="69">
        <v>200</v>
      </c>
      <c r="C48" s="69">
        <v>245</v>
      </c>
      <c r="D48" s="69">
        <v>45</v>
      </c>
      <c r="E48" s="63">
        <v>0.1488106310314809</v>
      </c>
      <c r="F48" s="63">
        <v>0.11666666666666667</v>
      </c>
    </row>
    <row r="49" spans="1:6" x14ac:dyDescent="0.3">
      <c r="A49" s="4" t="s">
        <v>47</v>
      </c>
      <c r="B49" s="69">
        <v>656.01</v>
      </c>
      <c r="C49" s="69">
        <v>118.97000000000003</v>
      </c>
      <c r="D49" s="69">
        <v>537.04</v>
      </c>
      <c r="E49" s="63" t="s">
        <v>48</v>
      </c>
      <c r="F49" s="63">
        <v>5.6652380952380968E-2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Ooi Siang Tan</cp:lastModifiedBy>
  <dcterms:created xsi:type="dcterms:W3CDTF">2014-09-21T13:28:29Z</dcterms:created>
  <dcterms:modified xsi:type="dcterms:W3CDTF">2020-08-30T19:18:30Z</dcterms:modified>
</cp:coreProperties>
</file>