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oisiang\personal_finance_report\"/>
    </mc:Choice>
  </mc:AlternateContent>
  <bookViews>
    <workbookView xWindow="-105" yWindow="-105" windowWidth="23250" windowHeight="12570" tabRatio="897" activeTab="2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" i="17" l="1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B59" i="17" l="1"/>
  <c r="B50" i="17"/>
  <c r="F34" i="17"/>
  <c r="F37" i="17"/>
  <c r="F36" i="17"/>
  <c r="F35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D37" i="17"/>
  <c r="G37" i="17" s="1"/>
  <c r="H37" i="17" l="1"/>
  <c r="B57" i="17"/>
  <c r="E42" i="17"/>
  <c r="D2" i="22" l="1"/>
  <c r="A2" i="22"/>
  <c r="B60" i="17"/>
  <c r="B58" i="17"/>
  <c r="B56" i="17"/>
  <c r="B55" i="17"/>
  <c r="B54" i="17"/>
  <c r="U47" i="17"/>
  <c r="T47" i="17"/>
  <c r="N47" i="17"/>
  <c r="M47" i="17"/>
  <c r="L47" i="17"/>
  <c r="K47" i="17"/>
  <c r="E47" i="17"/>
  <c r="U45" i="17"/>
  <c r="T45" i="17"/>
  <c r="N45" i="17"/>
  <c r="M45" i="17"/>
  <c r="L45" i="17"/>
  <c r="K45" i="17"/>
  <c r="E45" i="17"/>
  <c r="U44" i="17"/>
  <c r="T44" i="17"/>
  <c r="N44" i="17"/>
  <c r="M44" i="17"/>
  <c r="L44" i="17"/>
  <c r="K44" i="17"/>
  <c r="E44" i="17"/>
  <c r="U43" i="17"/>
  <c r="T43" i="17"/>
  <c r="N43" i="17"/>
  <c r="M43" i="17"/>
  <c r="L43" i="17"/>
  <c r="K43" i="17"/>
  <c r="E43" i="17"/>
  <c r="U42" i="17"/>
  <c r="T42" i="17"/>
  <c r="N42" i="17"/>
  <c r="M42" i="17"/>
  <c r="L42" i="17"/>
  <c r="K42" i="17"/>
  <c r="U41" i="17"/>
  <c r="T41" i="17"/>
  <c r="N41" i="17"/>
  <c r="M41" i="17"/>
  <c r="L41" i="17"/>
  <c r="K41" i="17"/>
  <c r="E41" i="17"/>
  <c r="U40" i="17"/>
  <c r="T40" i="17"/>
  <c r="N40" i="17"/>
  <c r="M40" i="17"/>
  <c r="L40" i="17"/>
  <c r="K40" i="17"/>
  <c r="E40" i="17"/>
  <c r="U39" i="17"/>
  <c r="T39" i="17"/>
  <c r="N39" i="17"/>
  <c r="M39" i="17"/>
  <c r="L39" i="17"/>
  <c r="K39" i="17"/>
  <c r="E39" i="17"/>
  <c r="R45" i="17"/>
  <c r="S44" i="17"/>
  <c r="P39" i="17"/>
  <c r="L46" i="17" l="1"/>
  <c r="B61" i="17"/>
  <c r="C61" i="17" s="1"/>
  <c r="K46" i="17"/>
  <c r="M46" i="17"/>
  <c r="E46" i="17"/>
  <c r="J50" i="17"/>
  <c r="K50" i="17" s="1"/>
  <c r="L50" i="17" s="1"/>
  <c r="M50" i="17" s="1"/>
  <c r="N50" i="17" s="1"/>
  <c r="O50" i="17" s="1"/>
  <c r="P50" i="17" s="1"/>
  <c r="Q50" i="17" s="1"/>
  <c r="R50" i="17" s="1"/>
  <c r="S50" i="17" s="1"/>
  <c r="T50" i="17" s="1"/>
  <c r="U50" i="17" s="1"/>
  <c r="N46" i="17"/>
  <c r="R39" i="17"/>
  <c r="U46" i="17"/>
  <c r="F47" i="17"/>
  <c r="J2" i="22" s="1"/>
  <c r="C58" i="17"/>
  <c r="C59" i="17"/>
  <c r="P44" i="17"/>
  <c r="F44" i="17"/>
  <c r="R44" i="17"/>
  <c r="C57" i="17"/>
  <c r="C55" i="17"/>
  <c r="C56" i="17"/>
  <c r="C60" i="17"/>
  <c r="T46" i="17"/>
  <c r="D36" i="17"/>
  <c r="C54" i="17"/>
  <c r="Q39" i="17"/>
  <c r="F41" i="17"/>
  <c r="R41" i="17"/>
  <c r="R43" i="17"/>
  <c r="Q44" i="17"/>
  <c r="F45" i="17"/>
  <c r="F40" i="17"/>
  <c r="O41" i="17"/>
  <c r="R47" i="17"/>
  <c r="O40" i="17"/>
  <c r="Q40" i="17"/>
  <c r="Q42" i="17"/>
  <c r="Q43" i="17"/>
  <c r="P43" i="17"/>
  <c r="O45" i="17"/>
  <c r="P42" i="17"/>
  <c r="F42" i="17"/>
  <c r="Q45" i="17"/>
  <c r="F39" i="17"/>
  <c r="P40" i="17"/>
  <c r="R40" i="17"/>
  <c r="Q41" i="17"/>
  <c r="P41" i="17"/>
  <c r="R42" i="17"/>
  <c r="F43" i="17"/>
  <c r="O44" i="17"/>
  <c r="O42" i="17"/>
  <c r="P45" i="17"/>
  <c r="O47" i="17"/>
  <c r="O39" i="17"/>
  <c r="O43" i="17"/>
  <c r="P47" i="17"/>
  <c r="Q47" i="17"/>
  <c r="S45" i="17"/>
  <c r="S43" i="17"/>
  <c r="S42" i="17"/>
  <c r="S41" i="17"/>
  <c r="S40" i="17"/>
  <c r="S39" i="17"/>
  <c r="S47" i="17"/>
  <c r="H36" i="17" l="1"/>
  <c r="G36" i="17"/>
  <c r="Q46" i="17"/>
  <c r="O46" i="17"/>
  <c r="R46" i="17"/>
  <c r="F46" i="17"/>
  <c r="P46" i="17"/>
  <c r="S46" i="17"/>
  <c r="D3" i="17"/>
  <c r="D35" i="17"/>
  <c r="G35" i="17" s="1"/>
  <c r="D33" i="17"/>
  <c r="D31" i="17"/>
  <c r="G31" i="17" s="1"/>
  <c r="D30" i="17"/>
  <c r="G30" i="17" s="1"/>
  <c r="D29" i="17"/>
  <c r="G29" i="17" s="1"/>
  <c r="D28" i="17"/>
  <c r="G28" i="17" s="1"/>
  <c r="D26" i="17"/>
  <c r="D25" i="17"/>
  <c r="D24" i="17"/>
  <c r="D23" i="17"/>
  <c r="D22" i="17"/>
  <c r="D21" i="17"/>
  <c r="D20" i="17"/>
  <c r="D19" i="17"/>
  <c r="D18" i="17"/>
  <c r="D17" i="17"/>
  <c r="D16" i="17"/>
  <c r="D15" i="17"/>
  <c r="D13" i="17"/>
  <c r="G13" i="17" s="1"/>
  <c r="D12" i="17"/>
  <c r="G12" i="17" s="1"/>
  <c r="D11" i="17"/>
  <c r="G11" i="17" s="1"/>
  <c r="D10" i="17"/>
  <c r="D8" i="17"/>
  <c r="D7" i="17"/>
  <c r="D6" i="17"/>
  <c r="D5" i="17"/>
  <c r="D27" i="17"/>
  <c r="G27" i="17" s="1"/>
  <c r="D14" i="17"/>
  <c r="G14" i="17" s="1"/>
  <c r="D9" i="17"/>
  <c r="G9" i="17" s="1"/>
  <c r="D32" i="17"/>
  <c r="G32" i="17" s="1"/>
  <c r="D34" i="17"/>
  <c r="G34" i="17" s="1"/>
  <c r="D2" i="17"/>
  <c r="G2" i="17" s="1"/>
  <c r="H7" i="17" l="1"/>
  <c r="G7" i="17"/>
  <c r="H17" i="17"/>
  <c r="G17" i="17"/>
  <c r="G18" i="17"/>
  <c r="G22" i="17"/>
  <c r="H26" i="17"/>
  <c r="G26" i="17"/>
  <c r="G5" i="17"/>
  <c r="G10" i="17"/>
  <c r="H15" i="17"/>
  <c r="G15" i="17"/>
  <c r="G19" i="17"/>
  <c r="G23" i="17"/>
  <c r="H33" i="17"/>
  <c r="G33" i="17"/>
  <c r="G21" i="17"/>
  <c r="H25" i="17"/>
  <c r="G25" i="17"/>
  <c r="G3" i="17"/>
  <c r="G8" i="17"/>
  <c r="G6" i="17"/>
  <c r="G16" i="17"/>
  <c r="H20" i="17"/>
  <c r="G20" i="17"/>
  <c r="H24" i="17"/>
  <c r="G24" i="17"/>
  <c r="J44" i="17"/>
  <c r="J42" i="17"/>
  <c r="J40" i="17"/>
  <c r="J47" i="17"/>
  <c r="J48" i="17" s="1"/>
  <c r="K48" i="17" s="1"/>
  <c r="L48" i="17" s="1"/>
  <c r="M48" i="17" s="1"/>
  <c r="N48" i="17" s="1"/>
  <c r="O48" i="17" s="1"/>
  <c r="P48" i="17" s="1"/>
  <c r="Q48" i="17" s="1"/>
  <c r="R48" i="17" s="1"/>
  <c r="S48" i="17" s="1"/>
  <c r="T48" i="17" s="1"/>
  <c r="U48" i="17" s="1"/>
  <c r="D42" i="17"/>
  <c r="H14" i="17"/>
  <c r="H11" i="17"/>
  <c r="H29" i="17"/>
  <c r="D44" i="17"/>
  <c r="H32" i="17"/>
  <c r="H12" i="17"/>
  <c r="H30" i="17"/>
  <c r="D45" i="17"/>
  <c r="H35" i="17"/>
  <c r="H28" i="17"/>
  <c r="H2" i="17"/>
  <c r="D39" i="17"/>
  <c r="A7" i="22"/>
  <c r="D43" i="17"/>
  <c r="H27" i="17"/>
  <c r="H34" i="17"/>
  <c r="D41" i="17"/>
  <c r="H9" i="17"/>
  <c r="H13" i="17"/>
  <c r="H31" i="17"/>
  <c r="D4" i="17"/>
  <c r="H3" i="17"/>
  <c r="J39" i="17"/>
  <c r="J41" i="17"/>
  <c r="J43" i="17"/>
  <c r="H5" i="17"/>
  <c r="H6" i="17"/>
  <c r="H8" i="17"/>
  <c r="H10" i="17"/>
  <c r="H16" i="17"/>
  <c r="H18" i="17"/>
  <c r="H19" i="17"/>
  <c r="H21" i="17"/>
  <c r="H22" i="17"/>
  <c r="H23" i="17"/>
  <c r="J45" i="17"/>
  <c r="H42" i="17" l="1"/>
  <c r="G42" i="17"/>
  <c r="H43" i="17"/>
  <c r="G43" i="17"/>
  <c r="H39" i="17"/>
  <c r="G39" i="17"/>
  <c r="H41" i="17"/>
  <c r="G41" i="17"/>
  <c r="H44" i="17"/>
  <c r="G44" i="17"/>
  <c r="D47" i="17"/>
  <c r="G47" i="17" s="1"/>
  <c r="G4" i="17"/>
  <c r="H45" i="17"/>
  <c r="G45" i="17"/>
  <c r="J46" i="17"/>
  <c r="H4" i="17"/>
  <c r="D40" i="17"/>
  <c r="G40" i="17" s="1"/>
  <c r="D7" i="22"/>
  <c r="G7" i="22" s="1"/>
  <c r="J49" i="17" s="1"/>
  <c r="K49" i="17" s="1"/>
  <c r="L49" i="17" s="1"/>
  <c r="M49" i="17" s="1"/>
  <c r="N49" i="17" s="1"/>
  <c r="O49" i="17" s="1"/>
  <c r="P49" i="17" s="1"/>
  <c r="Q49" i="17" s="1"/>
  <c r="R49" i="17" s="1"/>
  <c r="S49" i="17" s="1"/>
  <c r="T49" i="17" s="1"/>
  <c r="U49" i="17" s="1"/>
  <c r="H47" i="17" l="1"/>
  <c r="J7" i="22"/>
  <c r="M7" i="22" s="1"/>
  <c r="H40" i="17"/>
  <c r="H46" i="17" s="1"/>
  <c r="D46" i="17"/>
  <c r="G46" i="17" s="1"/>
  <c r="G2" i="22" l="1"/>
</calcChain>
</file>

<file path=xl/sharedStrings.xml><?xml version="1.0" encoding="utf-8"?>
<sst xmlns="http://schemas.openxmlformats.org/spreadsheetml/2006/main" count="178" uniqueCount="93">
  <si>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</si>
  <si>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</si>
  <si>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</si>
  <si>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</si>
  <si>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</si>
  <si>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</si>
  <si>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</si>
  <si>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</si>
  <si>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</si>
  <si>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</si>
  <si>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</si>
  <si>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</si>
  <si>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</si>
  <si>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</si>
  <si>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</si>
  <si>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</si>
  <si>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</si>
  <si>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</si>
  <si>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</si>
  <si>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</si>
  <si>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</si>
  <si>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</si>
  <si>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</si>
  <si>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</si>
  <si>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</si>
  <si>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</si>
  <si>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</si>
  <si>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</si>
  <si>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</si>
  <si>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</si>
  <si>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</si>
  <si>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</si>
  <si>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</si>
  <si>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</si>
  <si>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</si>
  <si>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</si>
  <si>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</si>
  <si>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</si>
  <si>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</si>
  <si>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</si>
  <si>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</si>
  <si>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</si>
  <si>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</si>
  <si>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</si>
  <si>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</si>
  <si>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</si>
  <si>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</si>
  <si>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bAV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</si>
  <si>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</si>
  <si>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</si>
  <si>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</si>
  <si>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</si>
  <si>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</si>
  <si>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</si>
  <si>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</si>
  <si>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</si>
  <si>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BU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</si>
  <si>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</si>
  <si>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</si>
  <si>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</si>
  <si>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</si>
  <si>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</si>
  <si>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</si>
  <si>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</si>
  <si>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</si>
  <si>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</si>
  <si>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Rechtschutz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</si>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</sst>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0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0" fontId="8" fillId="12" borderId="0" xfId="3" applyFont="1" applyAlignment="1">
      <alignment horizontal="center"/>
    </xf>
    <xf numFmtId="165" fontId="0" fillId="0" borderId="0" xfId="0" applyNumberFormat="1" applyAlignment="1">
      <alignment horizontal="center"/>
    </xf>
    <xf numFmtId="165" fontId="7" fillId="11" borderId="0" xfId="2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</cellXfs>
  <cellStyles count="6">
    <cellStyle name="Accent1" xfId="3" builtinId="29"/>
    <cellStyle name="Bad" xfId="5" builtinId="27"/>
    <cellStyle name="Good" xfId="4" builtinId="26"/>
    <cellStyle name="Neutral" xfId="2" builtinId="28"/>
    <cellStyle name="Normal" xfId="0" builtinId="0"/>
    <cellStyle name="Total" xfId="1" builtinId="25"/>
  </cellStyles>
  <dxfs count="48">
    <dxf>
      <numFmt numFmtId="14" formatCode="0.00%"/>
    </dxf>
    <dxf>
      <numFmt numFmtId="14" formatCode="0.00%"/>
    </dxf>
    <dxf>
      <numFmt numFmtId="167" formatCode="0.00\€"/>
    </dxf>
    <dxf>
      <numFmt numFmtId="167" formatCode="0.00\€"/>
    </dxf>
    <dxf>
      <numFmt numFmtId="167" formatCode="0.00\€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Annual!$C$2:$C$37</c15:sqref>
                  </c15:fullRef>
                </c:ext>
              </c:extLst>
              <c:f>(Annual!$C$4:$C$24,Annual!$C$26:$C$37)</c:f>
              <c:strCache>
                <c:ptCount val="33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Personal Others</c:v>
                </c:pt>
                <c:pt idx="22">
                  <c:v>Car</c:v>
                </c:pt>
                <c:pt idx="23">
                  <c:v>Petrol</c:v>
                </c:pt>
                <c:pt idx="24">
                  <c:v>Public Transport</c:v>
                </c:pt>
                <c:pt idx="25">
                  <c:v>Car Maintainence</c:v>
                </c:pt>
                <c:pt idx="26">
                  <c:v>Transportation Others</c:v>
                </c:pt>
                <c:pt idx="27">
                  <c:v>Pension Fund</c:v>
                </c:pt>
                <c:pt idx="28">
                  <c:v>bAV</c:v>
                </c:pt>
                <c:pt idx="29">
                  <c:v>Stocks</c:v>
                </c:pt>
                <c:pt idx="30">
                  <c:v>Medical Insurance</c:v>
                </c:pt>
                <c:pt idx="31">
                  <c:v>BU</c:v>
                </c:pt>
                <c:pt idx="32">
                  <c:v>Rechtschutz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Annual!$G$2:$G$37</c15:sqref>
                  </c15:fullRef>
                </c:ext>
              </c:extLst>
              <c:f>(Annual!$G$4:$G$24,Annual!$G$26:$G$37)</c:f>
              <c:numCache>
                <c:formatCode>0.00%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8.3333333333333329E-2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Annual!$C$2:$C$37</c15:sqref>
                  </c15:fullRef>
                </c:ext>
              </c:extLst>
              <c:f>(Annual!$C$4:$C$24,Annual!$C$26:$C$37)</c:f>
              <c:strCache>
                <c:ptCount val="33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Personal Others</c:v>
                </c:pt>
                <c:pt idx="22">
                  <c:v>Car</c:v>
                </c:pt>
                <c:pt idx="23">
                  <c:v>Petrol</c:v>
                </c:pt>
                <c:pt idx="24">
                  <c:v>Public Transport</c:v>
                </c:pt>
                <c:pt idx="25">
                  <c:v>Car Maintainence</c:v>
                </c:pt>
                <c:pt idx="26">
                  <c:v>Transportation Others</c:v>
                </c:pt>
                <c:pt idx="27">
                  <c:v>Pension Fund</c:v>
                </c:pt>
                <c:pt idx="28">
                  <c:v>bAV</c:v>
                </c:pt>
                <c:pt idx="29">
                  <c:v>Stocks</c:v>
                </c:pt>
                <c:pt idx="30">
                  <c:v>Medical Insurance</c:v>
                </c:pt>
                <c:pt idx="31">
                  <c:v>BU</c:v>
                </c:pt>
                <c:pt idx="32">
                  <c:v>Rechtschutz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Annual!$AA$2:$AA$37</c15:sqref>
                  </c15:fullRef>
                </c:ext>
              </c:extLst>
              <c:f>(Annual!$AA$4:$AA$24,Annual!$AA$26:$AA$37)</c:f>
              <c:numCache>
                <c:formatCode>General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Annual!$C$40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Annual!$J$40:$U$40</c:f>
              <c:numCache>
                <c:formatCode>#,##0.00\ [$€-407];[Red]\-#,##0.00\ [$€-407]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Annual!$A$55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(Annual!$B$55,Annual!$B$55,Annual!$B$55,Annual!$B$55,Annual!$B$55,Annual!$B$55,Annual!$B$55,Annual!$B$55,Annual!$B$55,Annual!$B$55,Annual!$B$55,Annual!$B$55)</c:f>
              <c:numCache>
                <c:formatCode>#,##0.00\ [$€-407];[Red]\-#,##0.00\ [$€-407]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Annual!$J$44:$U$44</c:f>
              <c:numCache>
                <c:formatCode>#,##0.00\ [$€-407];[Red]\-#,##0.00\ [$€-407]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#,##0.00\ [$€-407];[Red]\-#,##0.00\ [$€-407]</c:formatCode>
                <c:ptCount val="12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180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Annual!$J$45:$U$45</c:f>
              <c:numCache>
                <c:formatCode>#,##0.00\ [$€-407];[Red]\-#,##0.00\ [$€-407]</c:formatCode>
                <c:ptCount val="12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#,##0.00\ [$€-407];[Red]\-#,##0.00\ [$€-407]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Annual!$J$47:$U$47</c:f>
              <c:numCache>
                <c:formatCode>#,##0.00\ [$€-407];[Red]\-#,##0.00\ [$€-407]</c:formatCode>
                <c:ptCount val="12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#,##0.00\ [$€-407];[Red]\-#,##0.00\ [$€-407]</c:formatCode>
                <c:ptCount val="12"/>
                <c:pt idx="0">
                  <c:v>393.96000000000004</c:v>
                </c:pt>
                <c:pt idx="1">
                  <c:v>393.96000000000004</c:v>
                </c:pt>
                <c:pt idx="2">
                  <c:v>393.96000000000004</c:v>
                </c:pt>
                <c:pt idx="3">
                  <c:v>393.96000000000004</c:v>
                </c:pt>
                <c:pt idx="4">
                  <c:v>393.96000000000004</c:v>
                </c:pt>
                <c:pt idx="5">
                  <c:v>393.96000000000004</c:v>
                </c:pt>
                <c:pt idx="6">
                  <c:v>393.96000000000004</c:v>
                </c:pt>
                <c:pt idx="7">
                  <c:v>393.96000000000004</c:v>
                </c:pt>
                <c:pt idx="8">
                  <c:v>393.96000000000004</c:v>
                </c:pt>
                <c:pt idx="9">
                  <c:v>393.96000000000004</c:v>
                </c:pt>
                <c:pt idx="10">
                  <c:v>393.96000000000004</c:v>
                </c:pt>
                <c:pt idx="11">
                  <c:v>393.96000000000004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Annual!$I$46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Annual!$J$48:$U$48</c:f>
              <c:numCache>
                <c:formatCode>#,##0.00\ [$€-407];[Red]\-#,##0.00\ [$€-407]</c:formatCode>
                <c:ptCount val="12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Annual!$I$47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Annual!$J$49:$U$49</c:f>
              <c:numCache>
                <c:formatCode>#,##0.00\ [$€-407];[Red]\-#,##0.00\ [$€-407]</c:formatCode>
                <c:ptCount val="12"/>
                <c:pt idx="0">
                  <c:v>1500</c:v>
                </c:pt>
                <c:pt idx="1">
                  <c:v>3000</c:v>
                </c:pt>
                <c:pt idx="2">
                  <c:v>4500</c:v>
                </c:pt>
                <c:pt idx="3">
                  <c:v>6000</c:v>
                </c:pt>
                <c:pt idx="4">
                  <c:v>7500</c:v>
                </c:pt>
                <c:pt idx="5">
                  <c:v>9000</c:v>
                </c:pt>
                <c:pt idx="6">
                  <c:v>10500</c:v>
                </c:pt>
                <c:pt idx="7">
                  <c:v>12000</c:v>
                </c:pt>
                <c:pt idx="8">
                  <c:v>13500</c:v>
                </c:pt>
                <c:pt idx="9">
                  <c:v>15000</c:v>
                </c:pt>
                <c:pt idx="10">
                  <c:v>16500</c:v>
                </c:pt>
                <c:pt idx="11">
                  <c:v>18000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Annual!$I$48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Annual!$J$50:$U$50</c:f>
              <c:numCache>
                <c:formatCode>#,##0.00\ [$€-407];[Red]\-#,##0.00\ [$€-407]</c:formatCode>
                <c:ptCount val="12"/>
                <c:pt idx="0">
                  <c:v>393.96000000000004</c:v>
                </c:pt>
                <c:pt idx="1">
                  <c:v>787.92000000000007</c:v>
                </c:pt>
                <c:pt idx="2">
                  <c:v>1181.8800000000001</c:v>
                </c:pt>
                <c:pt idx="3">
                  <c:v>1575.8400000000001</c:v>
                </c:pt>
                <c:pt idx="4">
                  <c:v>1969.8000000000002</c:v>
                </c:pt>
                <c:pt idx="5">
                  <c:v>2363.7600000000002</c:v>
                </c:pt>
                <c:pt idx="6">
                  <c:v>2757.7200000000003</c:v>
                </c:pt>
                <c:pt idx="7">
                  <c:v>3151.6800000000003</c:v>
                </c:pt>
                <c:pt idx="8">
                  <c:v>3545.6400000000003</c:v>
                </c:pt>
                <c:pt idx="9">
                  <c:v>3939.6000000000004</c:v>
                </c:pt>
                <c:pt idx="10">
                  <c:v>4333.5600000000004</c:v>
                </c:pt>
                <c:pt idx="11">
                  <c:v>4727.5200000000004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Annual!$C$39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Annual!$J$39:$U$39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Annual!$A$54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(Annual!$B$54,Annual!$B$54,Annual!$B$54,Annual!$B$54,Annual!$B$54,Annual!$B$54,Annual!$B$54,Annual!$B$54,Annual!$B$54,Annual!$B$54,Annual!$B$54,Annual!$B$54)</c:f>
              <c:numCache>
                <c:formatCode>#,##0.00\ [$€-407];[Red]\-#,##0.00\ [$€-407]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Annual!$J$46:$U$46</c:f>
              <c:numCache>
                <c:formatCode>#,##0.00\ [$€-407];[Red]\-#,##0.00\ [$€-407]</c:formatCode>
                <c:ptCount val="12"/>
                <c:pt idx="0">
                  <c:v>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Annual!$C$39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Annual!$J$39:$U$39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Annual!$J$41:$U$41</c:f>
              <c:numCache>
                <c:formatCode>#,##0.00\ [$€-407];[Red]\-#,##0.00\ [$€-407]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#,##0.00\ [$€-407];[Red]\-#,##0.00\ [$€-407]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Annual!$J$42:$U$42</c:f>
              <c:numCache>
                <c:formatCode>#,##0.00\ [$€-407];[Red]\-#,##0.00\ [$€-407]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#,##0.00\ [$€-407];[Red]\-#,##0.00\ [$€-407]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Annual!$J$43:$U$43</c:f>
              <c:numCache>
                <c:formatCode>#,##0.00\ [$€-407];[Red]\-#,##0.00\ [$€-407]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#,##0.00\ [$€-407];[Red]\-#,##0.00\ [$€-407]</c:formatCode>
                <c:ptCount val="12"/>
                <c:pt idx="0">
                  <c:v>130.03</c:v>
                </c:pt>
                <c:pt idx="1">
                  <c:v>130.03</c:v>
                </c:pt>
                <c:pt idx="2">
                  <c:v>130.03</c:v>
                </c:pt>
                <c:pt idx="3">
                  <c:v>130.03</c:v>
                </c:pt>
                <c:pt idx="4">
                  <c:v>130.03</c:v>
                </c:pt>
                <c:pt idx="5">
                  <c:v>130.03</c:v>
                </c:pt>
                <c:pt idx="6">
                  <c:v>130.03</c:v>
                </c:pt>
                <c:pt idx="7">
                  <c:v>130.03</c:v>
                </c:pt>
                <c:pt idx="8">
                  <c:v>130.03</c:v>
                </c:pt>
                <c:pt idx="9">
                  <c:v>130.03</c:v>
                </c:pt>
                <c:pt idx="10">
                  <c:v>130.03</c:v>
                </c:pt>
                <c:pt idx="11">
                  <c:v>130.03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(Annual!$C$39:$C$45,Annual!$C$47)</c15:sqref>
                  </c15:fullRef>
                </c:ext>
              </c:extLst>
              <c:f>(Annual!$C$40:$C$45,Annual!$C$47)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(Annual!$E$39:$E$45,Annual!$E$47)</c15:sqref>
                  </c15:fullRef>
                </c:ext>
              </c:extLst>
              <c:f>(Annual!$E$40:$E$45,Annual!$E$47)</c:f>
              <c:numCache>
                <c:formatCode>#,##0.00\ [$€-407];[Red]\-#,##0.00\ [$€-407]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130.03</c:v>
                </c:pt>
                <c:pt idx="4">
                  <c:v>130</c:v>
                </c:pt>
                <c:pt idx="5">
                  <c:v>245</c:v>
                </c:pt>
                <c:pt idx="6">
                  <c:v>393.96000000000004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(Annual!$C$39:$C$45,Annual!$C$47)</c15:sqref>
                  </c15:fullRef>
                </c:ext>
              </c:extLst>
              <c:f>(Annual!$C$40:$C$45,Annual!$C$47)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(Annual!$H$39:$H$45,Annual!$H$47)</c15:sqref>
                  </c15:fullRef>
                </c:ext>
              </c:extLst>
              <c:f>(Annual!$H$40:$H$45,Annual!$H$47)</c:f>
              <c:numCache>
                <c:formatCode>#,##0.00\ [$€-407];[Red]\-#,##0.00\ [$€-407]</c:formatCode>
                <c:ptCount val="7"/>
                <c:pt idx="0">
                  <c:v>0</c:v>
                </c:pt>
                <c:pt idx="1">
                  <c:v>300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1500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(Annual!$C$40:$C$45,Annual!$C$47)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(Annual!$H$40:$H$45,Annual!$H$47)</c:f>
              <c:numCache>
                <c:formatCode>#,##0.00\ [$€-407];[Red]\-#,##0.00\ [$€-407]</c:formatCode>
                <c:ptCount val="7"/>
                <c:pt idx="0">
                  <c:v>0</c:v>
                </c:pt>
                <c:pt idx="1">
                  <c:v>300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1500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Annual!$A$55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Annual!$C$55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Annual!$A$56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Annual!$C$56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Annual!$A$57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Annual!$A$58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6.1919047619047617E-2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Annual!$A$59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8.5714285714285715E-2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Annual!$A$60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Annual!$A$61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0.18760000000000002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Annual!$A$54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de-DE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Annual!$C$54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Petrol</c:v>
                  </c:pt>
                  <c:pt idx="25">
                    <c:v>Public Transport</c:v>
                  </c:pt>
                  <c:pt idx="26">
                    <c:v>Car Maintainence</c:v>
                  </c:pt>
                  <c:pt idx="27">
                    <c:v>Transportation Others</c:v>
                  </c:pt>
                  <c:pt idx="28">
                    <c:v>Pension Fund</c:v>
                  </c:pt>
                  <c:pt idx="29">
                    <c:v>bAV</c:v>
                  </c:pt>
                  <c:pt idx="30">
                    <c:v>Stocks</c:v>
                  </c:pt>
                  <c:pt idx="31">
                    <c:v>Medical Insurance</c:v>
                  </c:pt>
                  <c:pt idx="32">
                    <c:v>BU</c:v>
                  </c:pt>
                  <c:pt idx="33">
                    <c:v>Rechtschutz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8">
                    <c:v>Investment</c:v>
                  </c:pt>
                  <c:pt idx="31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#,##0.00\ [$€-407];[Red]\-#,##0.00\ [$€-407]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Petrol</c:v>
                  </c:pt>
                  <c:pt idx="25">
                    <c:v>Public Transport</c:v>
                  </c:pt>
                  <c:pt idx="26">
                    <c:v>Car Maintainence</c:v>
                  </c:pt>
                  <c:pt idx="27">
                    <c:v>Transportation Others</c:v>
                  </c:pt>
                  <c:pt idx="28">
                    <c:v>Pension Fund</c:v>
                  </c:pt>
                  <c:pt idx="29">
                    <c:v>bAV</c:v>
                  </c:pt>
                  <c:pt idx="30">
                    <c:v>Stocks</c:v>
                  </c:pt>
                  <c:pt idx="31">
                    <c:v>Medical Insurance</c:v>
                  </c:pt>
                  <c:pt idx="32">
                    <c:v>BU</c:v>
                  </c:pt>
                  <c:pt idx="33">
                    <c:v>Rechtschutz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8">
                    <c:v>Investment</c:v>
                  </c:pt>
                  <c:pt idx="31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#,##0.00\ [$€-407];[Red]\-#,##0.00\ [$€-407]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0.01</c:v>
                </c:pt>
                <c:pt idx="24">
                  <c:v>0.01</c:v>
                </c:pt>
                <c:pt idx="25">
                  <c:v>100</c:v>
                </c:pt>
                <c:pt idx="26">
                  <c:v>0.01</c:v>
                </c:pt>
                <c:pt idx="27">
                  <c:v>30</c:v>
                </c:pt>
                <c:pt idx="28">
                  <c:v>100</c:v>
                </c:pt>
                <c:pt idx="29">
                  <c:v>30</c:v>
                </c:pt>
                <c:pt idx="30">
                  <c:v>50</c:v>
                </c:pt>
                <c:pt idx="31">
                  <c:v>200</c:v>
                </c:pt>
                <c:pt idx="32">
                  <c:v>30</c:v>
                </c:pt>
                <c:pt idx="33">
                  <c:v>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0">
                  <c:v>Income</c:v>
                </c:pt>
                <c:pt idx="1">
                  <c:v>Food</c:v>
                </c:pt>
                <c:pt idx="2">
                  <c:v>Living</c:v>
                </c:pt>
                <c:pt idx="3">
                  <c:v>Personal</c:v>
                </c:pt>
                <c:pt idx="4">
                  <c:v>Transport</c:v>
                </c:pt>
                <c:pt idx="5">
                  <c:v>Investment</c:v>
                </c:pt>
                <c:pt idx="6">
                  <c:v>Insurance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0">
                  <c:v>2000</c:v>
                </c:pt>
                <c:pt idx="1">
                  <c:v>0</c:v>
                </c:pt>
                <c:pt idx="2">
                  <c:v>300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0">
                  <c:v>Income</c:v>
                </c:pt>
                <c:pt idx="1">
                  <c:v>Food</c:v>
                </c:pt>
                <c:pt idx="2">
                  <c:v>Living</c:v>
                </c:pt>
                <c:pt idx="3">
                  <c:v>Personal</c:v>
                </c:pt>
                <c:pt idx="4">
                  <c:v>Transport</c:v>
                </c:pt>
                <c:pt idx="5">
                  <c:v>Investment</c:v>
                </c:pt>
                <c:pt idx="6">
                  <c:v>Insurance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0">
                  <c:v>2100</c:v>
                </c:pt>
                <c:pt idx="1">
                  <c:v>320.01</c:v>
                </c:pt>
                <c:pt idx="2">
                  <c:v>356</c:v>
                </c:pt>
                <c:pt idx="3">
                  <c:v>475</c:v>
                </c:pt>
                <c:pt idx="4">
                  <c:v>130.03</c:v>
                </c:pt>
                <c:pt idx="5">
                  <c:v>180</c:v>
                </c:pt>
                <c:pt idx="6">
                  <c:v>245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Cateogries)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342F-48D6-958E-BE7ACC1544CB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300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24-4E40-BE42-9B25CDEC23AE}"/>
            </c:ex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19050</xdr:rowOff>
    </xdr:from>
    <xdr:to>
      <xdr:col>4</xdr:col>
      <xdr:colOff>1095375</xdr:colOff>
      <xdr:row>78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9525</xdr:rowOff>
        </xdr:from>
        <xdr:to>
          <xdr:col>8</xdr:col>
          <xdr:colOff>19050</xdr:colOff>
          <xdr:row>2</xdr:row>
          <xdr:rowOff>171450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="" xmlns:a16="http://schemas.microsoft.com/office/drawing/2014/main" id="{00000000-0008-0000-0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180975</xdr:rowOff>
        </xdr:from>
        <xdr:to>
          <xdr:col>10</xdr:col>
          <xdr:colOff>495300</xdr:colOff>
          <xdr:row>2</xdr:row>
          <xdr:rowOff>171450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="" xmlns:a16="http://schemas.microsoft.com/office/drawing/2014/main" id="{00000000-0008-0000-03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85726</xdr:colOff>
      <xdr:row>0</xdr:row>
      <xdr:rowOff>0</xdr:rowOff>
    </xdr:from>
    <xdr:to>
      <xdr:col>13</xdr:col>
      <xdr:colOff>647700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723900</xdr:colOff>
      <xdr:row>0</xdr:row>
      <xdr:rowOff>0</xdr:rowOff>
    </xdr:from>
    <xdr:to>
      <xdr:col>19</xdr:col>
      <xdr:colOff>552450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Table_AnnualReport" displayName="Table_AnnualReport" ref="A1:H37" headerRowDxfId="34" dataDxfId="33">
  <autoFilter ref="A1:H37"/>
  <tableColumns count="8">
    <tableColumn id="1" name="Income/Expense"/>
    <tableColumn id="2" name="Main Category" dataDxfId="32"/>
    <tableColumn id="3" name="Sub-Category" dataDxfId="31"/>
    <tableColumn id="4" name="Actual" dataDxfId="30"/>
    <tableColumn id="7" name="Monthly Budget" dataDxfId="29"/>
    <tableColumn id="5" name="Annual Budget" dataDxfId="28"/>
    <tableColumn id="9" name="Actual/AB" dataDxfId="27">
      <calculatedColumnFormula>Table_AnnualReport[[#This Row],[Actual]]/Table_AnnualReport[[#This Row],[Annual Budget]]</calculatedColumnFormula>
    </tableColumn>
    <tableColumn id="8" name="Monthly Avg" dataDxfId="2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able_ActualExpenseMonth" displayName="Table_ActualExpenseMonth" ref="J1:U37" headerRowDxfId="25">
  <autoFilter ref="J1:U37"/>
  <tableColumns count="12">
    <tableColumn id="1" name="January">
      <calculatedColumnFormula>January!D2</calculatedColumnFormula>
    </tableColumn>
    <tableColumn id="2" name="February"/>
    <tableColumn id="3" name="March"/>
    <tableColumn id="4" name="April"/>
    <tableColumn id="5" name="May"/>
    <tableColumn id="6" name="June"/>
    <tableColumn id="7" name="July" dataDxfId="24">
      <calculatedColumnFormula>#REF!</calculatedColumnFormula>
    </tableColumn>
    <tableColumn id="8" name="August">
      <calculatedColumnFormula>#REF!</calculatedColumnFormula>
    </tableColumn>
    <tableColumn id="9" name="September">
      <calculatedColumnFormula>#REF!</calculatedColumnFormula>
    </tableColumn>
    <tableColumn id="10" name="October" dataDxfId="23">
      <calculatedColumnFormula>#REF!</calculatedColumnFormula>
    </tableColumn>
    <tableColumn id="11" name="November" dataDxfId="22">
      <calculatedColumnFormula>#REF!</calculatedColumnFormula>
    </tableColumn>
    <tableColumn id="12" name="December" dataDxfId="2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2" name="Tabelle12" displayName="Tabelle12" ref="A53:C61" totalsRowShown="0" headerRowDxfId="20">
  <autoFilter ref="A53:C61"/>
  <tableColumns count="3">
    <tableColumn id="1" name="Main Category" dataDxfId="19"/>
    <tableColumn id="2" name="Budget" dataDxfId="18"/>
    <tableColumn id="3" name="Budget/Income" dataDxfId="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6" name="Table_Transactions" displayName="Table_Transactions" ref="A1:D73">
  <autoFilter ref="A1:D73"/>
  <tableColumns count="4">
    <tableColumn id="4" name="Date" dataDxfId="16"/>
    <tableColumn id="1" name="Transactions" totalsRowLabel="Ergebnis"/>
    <tableColumn id="2" name="Amount" dataDxfId="15"/>
    <tableColumn id="3" name="Remark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_MonthlyReport" displayName="Table_MonthlyReport" ref="A1:F37" totalsRowShown="0" headerRowDxfId="14" headerRowBorderDxfId="13" tableBorderDxfId="12">
  <autoFilter ref="A1:F37"/>
  <tableColumns count="6">
    <tableColumn id="1" name="Income/Expense" dataDxfId="11"/>
    <tableColumn id="2" name="Main Category" dataDxfId="10"/>
    <tableColumn id="3" name="Sub-Category" dataDxfId="9"/>
    <tableColumn id="4" name="Actual" dataDxfId="8"/>
    <tableColumn id="5" name="Monthly Budget" dataDxfId="7"/>
    <tableColumn id="6" name="Difference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le_Summary" displayName="Table_Summary" ref="A39:F47" totalsRowShown="0" headerRowDxfId="5">
  <autoFilter ref="A39:F47"/>
  <tableColumns count="6">
    <tableColumn id="1" name="Main Category"/>
    <tableColumn id="2" name="Actual" dataDxfId="4"/>
    <tableColumn id="3" name="Budget" dataDxfId="3"/>
    <tableColumn id="4" name="Difference" dataDxfId="2"/>
    <tableColumn id="5" name="MC/Expense" dataDxfId="1"/>
    <tableColumn id="6" name="Budget/Inc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N8"/>
  <sheetViews>
    <sheetView zoomScale="80" zoomScaleNormal="80" workbookViewId="0">
      <selection activeCell="AB22" sqref="AB22"/>
    </sheetView>
  </sheetViews>
  <sheetFormatPr defaultColWidth="11.42578125" defaultRowHeight="15" x14ac:dyDescent="0.25"/>
  <sheetData>
    <row r="1" spans="1:14" x14ac:dyDescent="0.25">
      <c r="A1" s="105" t="s">
        <v>81</v>
      </c>
      <c r="B1" s="105"/>
      <c r="D1" s="105" t="s">
        <v>82</v>
      </c>
      <c r="E1" s="105"/>
      <c r="G1" s="105" t="s">
        <v>75</v>
      </c>
      <c r="H1" s="105"/>
      <c r="J1" s="105" t="s">
        <v>87</v>
      </c>
      <c r="K1" s="105"/>
      <c r="M1" s="105" t="s">
        <v>70</v>
      </c>
      <c r="N1" s="105"/>
    </row>
    <row r="2" spans="1:14" x14ac:dyDescent="0.25">
      <c r="A2" s="107">
        <f>SUM(Annual!E2:E3)</f>
        <v>2100</v>
      </c>
      <c r="B2" s="107"/>
      <c r="D2" s="107">
        <f>SUM(Annual!E4:E37)</f>
        <v>1706.04</v>
      </c>
      <c r="E2" s="107"/>
      <c r="G2" s="107">
        <f>(J2-J7)/Annual!B50</f>
        <v>293.41090909090877</v>
      </c>
      <c r="H2" s="107"/>
      <c r="J2" s="107">
        <f>Annual!F47</f>
        <v>4727.5199999999968</v>
      </c>
      <c r="K2" s="107"/>
      <c r="M2" s="107">
        <v>28036.15</v>
      </c>
      <c r="N2" s="107"/>
    </row>
    <row r="3" spans="1:14" x14ac:dyDescent="0.25">
      <c r="A3" s="107"/>
      <c r="B3" s="107"/>
      <c r="D3" s="107"/>
      <c r="E3" s="107"/>
      <c r="G3" s="107"/>
      <c r="H3" s="107"/>
      <c r="J3" s="107"/>
      <c r="K3" s="107"/>
      <c r="M3" s="107"/>
      <c r="N3" s="107"/>
    </row>
    <row r="4" spans="1:14" x14ac:dyDescent="0.25">
      <c r="G4" s="4"/>
      <c r="H4" s="4"/>
    </row>
    <row r="5" spans="1:14" x14ac:dyDescent="0.25">
      <c r="G5" s="4"/>
      <c r="H5" s="4"/>
    </row>
    <row r="6" spans="1:14" x14ac:dyDescent="0.25">
      <c r="A6" s="105" t="s">
        <v>79</v>
      </c>
      <c r="B6" s="105"/>
      <c r="D6" s="105" t="s">
        <v>80</v>
      </c>
      <c r="E6" s="105"/>
      <c r="G6" s="105" t="s">
        <v>69</v>
      </c>
      <c r="H6" s="105"/>
      <c r="J6" s="105" t="s">
        <v>68</v>
      </c>
      <c r="K6" s="105"/>
      <c r="M6" s="105" t="s">
        <v>71</v>
      </c>
      <c r="N6" s="105"/>
    </row>
    <row r="7" spans="1:14" x14ac:dyDescent="0.25">
      <c r="A7" s="108">
        <f>SUM(Annual!D2:D3)/Annual!B49</f>
        <v>2000</v>
      </c>
      <c r="B7" s="108"/>
      <c r="D7" s="109">
        <f>SUM(Annual!D4:D37)/Annual!B49</f>
        <v>500</v>
      </c>
      <c r="E7" s="109"/>
      <c r="G7" s="106">
        <f>A7-D7</f>
        <v>1500</v>
      </c>
      <c r="H7" s="106"/>
      <c r="J7" s="106">
        <f>Annual!D47</f>
        <v>1500</v>
      </c>
      <c r="K7" s="106"/>
      <c r="M7" s="106">
        <f>M2+J7</f>
        <v>29536.15</v>
      </c>
      <c r="N7" s="106"/>
    </row>
    <row r="8" spans="1:14" x14ac:dyDescent="0.25">
      <c r="A8" s="108"/>
      <c r="B8" s="108"/>
      <c r="D8" s="109"/>
      <c r="E8" s="109"/>
      <c r="G8" s="106"/>
      <c r="H8" s="106"/>
      <c r="J8" s="106"/>
      <c r="K8" s="106"/>
      <c r="M8" s="106"/>
      <c r="N8" s="106"/>
    </row>
  </sheetData>
  <mergeCells count="20">
    <mergeCell ref="M1:N1"/>
    <mergeCell ref="M2:N3"/>
    <mergeCell ref="M6:N6"/>
    <mergeCell ref="M7:N8"/>
    <mergeCell ref="J7:K8"/>
    <mergeCell ref="J1:K1"/>
    <mergeCell ref="J6:K6"/>
    <mergeCell ref="J2:K3"/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</mergeCells>
  <conditionalFormatting sqref="J7:K8">
    <cfRule type="cellIs" dxfId="47" priority="17" operator="lessThan">
      <formula>$J$2</formula>
    </cfRule>
    <cfRule type="cellIs" dxfId="46" priority="18" operator="greaterThanOrEqual">
      <formula>$J$2</formula>
    </cfRule>
  </conditionalFormatting>
  <conditionalFormatting sqref="G7:H8">
    <cfRule type="cellIs" dxfId="45" priority="9" operator="lessThan">
      <formula>$G$2</formula>
    </cfRule>
    <cfRule type="cellIs" dxfId="44" priority="10" operator="greaterThanOrEqual">
      <formula>$G$2</formula>
    </cfRule>
  </conditionalFormatting>
  <conditionalFormatting sqref="M7">
    <cfRule type="cellIs" dxfId="43" priority="25" operator="lessThan">
      <formula>$M$2+$J$2</formula>
    </cfRule>
    <cfRule type="cellIs" dxfId="42" priority="26" operator="greaterThanOrEqual">
      <formula>$M$2+$J$2</formula>
    </cfRule>
  </conditionalFormatting>
  <conditionalFormatting sqref="A7:B8">
    <cfRule type="cellIs" dxfId="41" priority="3" operator="lessThan">
      <formula>$A$2</formula>
    </cfRule>
    <cfRule type="cellIs" dxfId="40" priority="4" operator="greaterThanOrEqual">
      <formula>$A$2</formula>
    </cfRule>
  </conditionalFormatting>
  <conditionalFormatting sqref="D7:E8">
    <cfRule type="cellIs" dxfId="39" priority="1" operator="greaterThan">
      <formula>$D$2</formula>
    </cfRule>
    <cfRule type="cellIs" dxfId="38" priority="2" operator="lessThanOrEqual">
      <formula>$D$2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A69"/>
  <sheetViews>
    <sheetView zoomScale="80" zoomScaleNormal="8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Y31" sqref="Y31"/>
    </sheetView>
  </sheetViews>
  <sheetFormatPr defaultColWidth="11.42578125" defaultRowHeight="15" x14ac:dyDescent="0.25"/>
  <cols>
    <col min="1" max="1" width="18.28515625" bestFit="1" customWidth="1"/>
    <col min="2" max="2" width="16.28515625" bestFit="1" customWidth="1"/>
    <col min="3" max="3" width="20.28515625" bestFit="1" customWidth="1"/>
    <col min="4" max="4" width="11.5703125" style="36"/>
    <col min="5" max="5" width="17.7109375" style="36" bestFit="1" customWidth="1"/>
    <col min="6" max="6" width="16.42578125" style="36" bestFit="1" customWidth="1"/>
    <col min="7" max="7" width="12.7109375" style="36" customWidth="1"/>
    <col min="8" max="8" width="14.7109375" style="36" bestFit="1" customWidth="1"/>
    <col min="18" max="18" width="13.28515625" bestFit="1" customWidth="1"/>
    <col min="20" max="20" width="12.85546875" bestFit="1" customWidth="1"/>
    <col min="21" max="21" width="12.7109375" bestFit="1" customWidth="1"/>
    <col min="27" max="27" width="11.5703125" customWidth="1"/>
  </cols>
  <sheetData>
    <row r="1" spans="1:27" x14ac:dyDescent="0.25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58</v>
      </c>
      <c r="F1" s="28" t="s">
        <v>53</v>
      </c>
      <c r="G1" s="28" t="s">
        <v>91</v>
      </c>
      <c r="H1" s="28" t="s">
        <v>90</v>
      </c>
      <c r="J1" s="1" t="s">
        <v>85</v>
      </c>
      <c r="K1" s="1" t="s">
        <v>86</v>
      </c>
      <c r="L1" s="1" t="s">
        <v>60</v>
      </c>
      <c r="M1" s="1" t="s">
        <v>36</v>
      </c>
      <c r="N1" s="1" t="s">
        <v>42</v>
      </c>
      <c r="O1" s="1" t="s">
        <v>50</v>
      </c>
      <c r="P1" s="1" t="s">
        <v>59</v>
      </c>
      <c r="Q1" s="1" t="s">
        <v>61</v>
      </c>
      <c r="R1" s="1" t="s">
        <v>62</v>
      </c>
      <c r="S1" s="1" t="s">
        <v>63</v>
      </c>
      <c r="T1" s="1" t="s">
        <v>64</v>
      </c>
      <c r="U1" s="1" t="s">
        <v>65</v>
      </c>
      <c r="AA1" s="65">
        <v>1</v>
      </c>
    </row>
    <row r="2" spans="1:27" x14ac:dyDescent="0.25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Budget]]*B51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Row],[Actual]]/B49</f>
        <v>2000</v>
      </c>
      <c r="J2" s="29">
        <f>January!D2</f>
        <v>2000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AA2">
        <v>1</v>
      </c>
    </row>
    <row r="3" spans="1:27" x14ac:dyDescent="0.25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Budget]]*B51</f>
        <v>1200</v>
      </c>
      <c r="G3" s="8">
        <f>Table_AnnualReport[[#This Row],[Actual]]/Table_AnnualReport[[#This Row],[Annual Budget]]</f>
        <v>0</v>
      </c>
      <c r="H3" s="29">
        <f>Table_AnnualReport[[#This Row],[Actual]]/B49</f>
        <v>0</v>
      </c>
      <c r="J3" s="29">
        <f>January!D3</f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AA3">
        <v>1</v>
      </c>
    </row>
    <row r="4" spans="1:27" x14ac:dyDescent="0.25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Budget]]*B51</f>
        <v>1200</v>
      </c>
      <c r="G4" s="9">
        <f>Table_AnnualReport[[#This Row],[Actual]]/Table_AnnualReport[[#This Row],[Annual Budget]]</f>
        <v>0</v>
      </c>
      <c r="H4" s="30">
        <f>Table_AnnualReport[[#This Row],[Actual]]/B49</f>
        <v>0</v>
      </c>
      <c r="J4" s="30">
        <f>January!D4</f>
        <v>0</v>
      </c>
      <c r="K4" s="30">
        <v>0</v>
      </c>
      <c r="L4" s="30">
        <v>0</v>
      </c>
      <c r="M4" s="30">
        <v>0</v>
      </c>
      <c r="N4" s="30">
        <v>0</v>
      </c>
      <c r="O4" s="30"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AA4">
        <v>1</v>
      </c>
    </row>
    <row r="5" spans="1:27" x14ac:dyDescent="0.25">
      <c r="A5" s="26"/>
      <c r="B5" s="15"/>
      <c r="C5" s="15" t="s">
        <v>6</v>
      </c>
      <c r="D5" s="30">
        <f>SUM(Table_ActualExpenseMonth[#This Row])</f>
        <v>0</v>
      </c>
      <c r="E5" s="30">
        <v>100</v>
      </c>
      <c r="F5" s="30">
        <f>Table_AnnualReport[[#This Row],[Monthly Budget]]*B51</f>
        <v>1200</v>
      </c>
      <c r="G5" s="9">
        <f>Table_AnnualReport[[#This Row],[Actual]]/Table_AnnualReport[[#This Row],[Annual Budget]]</f>
        <v>0</v>
      </c>
      <c r="H5" s="30">
        <f>Table_AnnualReport[[#This Row],[Actual]]/B49</f>
        <v>0</v>
      </c>
      <c r="J5" s="30">
        <f>January!D5</f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AA5" s="4">
        <v>1</v>
      </c>
    </row>
    <row r="6" spans="1:27" x14ac:dyDescent="0.25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Budget]]*B51</f>
        <v>240</v>
      </c>
      <c r="G6" s="9">
        <f>Table_AnnualReport[[#This Row],[Actual]]/Table_AnnualReport[[#This Row],[Annual Budget]]</f>
        <v>0</v>
      </c>
      <c r="H6" s="30">
        <f>Table_AnnualReport[[#This Row],[Actual]]/B49</f>
        <v>0</v>
      </c>
      <c r="J6" s="30">
        <f>January!D6</f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AA6" s="4">
        <v>1</v>
      </c>
    </row>
    <row r="7" spans="1:27" x14ac:dyDescent="0.25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Budget]]*B51</f>
        <v>1200</v>
      </c>
      <c r="G7" s="9">
        <f>Table_AnnualReport[[#This Row],[Actual]]/Table_AnnualReport[[#This Row],[Annual Budget]]</f>
        <v>0</v>
      </c>
      <c r="H7" s="30">
        <f>Table_AnnualReport[[#This Row],[Actual]]/B49</f>
        <v>0</v>
      </c>
      <c r="J7" s="30">
        <f>January!D7</f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AA7" s="4">
        <v>1</v>
      </c>
    </row>
    <row r="8" spans="1:27" x14ac:dyDescent="0.25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Budget]]*B51</f>
        <v>0.12</v>
      </c>
      <c r="G8" s="9">
        <f>Table_AnnualReport[[#This Row],[Actual]]/Table_AnnualReport[[#This Row],[Annual Budget]]</f>
        <v>0</v>
      </c>
      <c r="H8" s="30">
        <f>Table_AnnualReport[[#This Row],[Actual]]/B49</f>
        <v>0</v>
      </c>
      <c r="J8" s="30">
        <f>January!D8</f>
        <v>0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AA8" s="4">
        <v>1</v>
      </c>
    </row>
    <row r="9" spans="1:27" x14ac:dyDescent="0.25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Budget]]*B51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Row],[Actual]]/B49</f>
        <v>300</v>
      </c>
      <c r="J9" s="31">
        <f>January!D9</f>
        <v>300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AA9" s="4">
        <v>1</v>
      </c>
    </row>
    <row r="10" spans="1:27" x14ac:dyDescent="0.25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Budget]]*B51</f>
        <v>360</v>
      </c>
      <c r="G10" s="94">
        <f>Table_AnnualReport[[#This Row],[Actual]]/Table_AnnualReport[[#This Row],[Annual Budget]]</f>
        <v>0</v>
      </c>
      <c r="H10" s="31">
        <f>Table_AnnualReport[[#This Row],[Actual]]/B49</f>
        <v>0</v>
      </c>
      <c r="J10" s="31">
        <f>January!D10</f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AA10" s="4">
        <v>1</v>
      </c>
    </row>
    <row r="11" spans="1:27" x14ac:dyDescent="0.25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Budget]]*B51</f>
        <v>72</v>
      </c>
      <c r="G11" s="94">
        <f>Table_AnnualReport[[#This Row],[Actual]]/Table_AnnualReport[[#This Row],[Annual Budget]]</f>
        <v>0</v>
      </c>
      <c r="H11" s="31">
        <f>Table_AnnualReport[[#This Row],[Actual]]/B49</f>
        <v>0</v>
      </c>
      <c r="J11" s="31">
        <f>January!D11</f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AA11" s="4">
        <v>1</v>
      </c>
    </row>
    <row r="12" spans="1:27" x14ac:dyDescent="0.25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Budget]]*B51</f>
        <v>120</v>
      </c>
      <c r="G12" s="94">
        <f>Table_AnnualReport[[#This Row],[Actual]]/Table_AnnualReport[[#This Row],[Annual Budget]]</f>
        <v>0</v>
      </c>
      <c r="H12" s="31">
        <f>Table_AnnualReport[[#This Row],[Actual]]/B49</f>
        <v>0</v>
      </c>
      <c r="J12" s="31">
        <f>January!D12</f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AA12" s="4">
        <v>1</v>
      </c>
    </row>
    <row r="13" spans="1:27" x14ac:dyDescent="0.25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Budget]]*B51</f>
        <v>120</v>
      </c>
      <c r="G13" s="94">
        <f>Table_AnnualReport[[#This Row],[Actual]]/Table_AnnualReport[[#This Row],[Annual Budget]]</f>
        <v>0</v>
      </c>
      <c r="H13" s="31">
        <f>Table_AnnualReport[[#This Row],[Actual]]/B49</f>
        <v>0</v>
      </c>
      <c r="J13" s="31">
        <f>January!D13</f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AA13" s="4">
        <v>1</v>
      </c>
    </row>
    <row r="14" spans="1:27" x14ac:dyDescent="0.25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Budget]]*B51</f>
        <v>240</v>
      </c>
      <c r="G14" s="10">
        <f>Table_AnnualReport[[#This Row],[Actual]]/Table_AnnualReport[[#This Row],[Annual Budget]]</f>
        <v>0</v>
      </c>
      <c r="H14" s="32">
        <f>Table_AnnualReport[[#This Row],[Actual]]/B49</f>
        <v>0</v>
      </c>
      <c r="J14" s="32">
        <f>January!D14</f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AA14" s="4">
        <v>1</v>
      </c>
    </row>
    <row r="15" spans="1:27" x14ac:dyDescent="0.25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Budget]]*B51</f>
        <v>240</v>
      </c>
      <c r="G15" s="10">
        <f>Table_AnnualReport[[#This Row],[Actual]]/Table_AnnualReport[[#This Row],[Annual Budget]]</f>
        <v>0</v>
      </c>
      <c r="H15" s="32">
        <f>Table_AnnualReport[[#This Row],[Actual]]/B49</f>
        <v>0</v>
      </c>
      <c r="J15" s="32">
        <f>January!D15</f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AA15" s="4">
        <v>1</v>
      </c>
    </row>
    <row r="16" spans="1:27" x14ac:dyDescent="0.25">
      <c r="A16" s="26"/>
      <c r="B16" s="20"/>
      <c r="C16" s="19" t="s">
        <v>52</v>
      </c>
      <c r="D16" s="32">
        <f>SUM(Table_ActualExpenseMonth[#This Row])</f>
        <v>0</v>
      </c>
      <c r="E16" s="32">
        <v>10</v>
      </c>
      <c r="F16" s="32">
        <f>Table_AnnualReport[[#This Row],[Monthly Budget]]*B51</f>
        <v>120</v>
      </c>
      <c r="G16" s="10">
        <f>Table_AnnualReport[[#This Row],[Actual]]/Table_AnnualReport[[#This Row],[Annual Budget]]</f>
        <v>0</v>
      </c>
      <c r="H16" s="32">
        <f>Table_AnnualReport[[#This Row],[Actual]]/B49</f>
        <v>0</v>
      </c>
      <c r="J16" s="32">
        <f>January!D16</f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AA16" s="4">
        <v>1</v>
      </c>
    </row>
    <row r="17" spans="1:27" x14ac:dyDescent="0.25">
      <c r="A17" s="26"/>
      <c r="B17" s="20"/>
      <c r="C17" s="20" t="s">
        <v>9</v>
      </c>
      <c r="D17" s="32">
        <f>SUM(Table_ActualExpenseMonth[#This Row])</f>
        <v>0</v>
      </c>
      <c r="E17" s="32">
        <v>30</v>
      </c>
      <c r="F17" s="32">
        <f>Table_AnnualReport[[#This Row],[Monthly Budget]]*B51</f>
        <v>360</v>
      </c>
      <c r="G17" s="10">
        <f>Table_AnnualReport[[#This Row],[Actual]]/Table_AnnualReport[[#This Row],[Annual Budget]]</f>
        <v>0</v>
      </c>
      <c r="H17" s="32">
        <f>Table_AnnualReport[[#This Row],[Actual]]/B49</f>
        <v>0</v>
      </c>
      <c r="J17" s="32">
        <f>January!D17</f>
        <v>0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AA17" s="4">
        <v>1</v>
      </c>
    </row>
    <row r="18" spans="1:27" x14ac:dyDescent="0.25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Budget]]*B51</f>
        <v>360</v>
      </c>
      <c r="G18" s="10">
        <f>Table_AnnualReport[[#This Row],[Actual]]/Table_AnnualReport[[#This Row],[Annual Budget]]</f>
        <v>0</v>
      </c>
      <c r="H18" s="32">
        <f>Table_AnnualReport[[#This Row],[Actual]]/B49</f>
        <v>0</v>
      </c>
      <c r="J18" s="32">
        <f>January!D18</f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AA18" s="4">
        <v>1</v>
      </c>
    </row>
    <row r="19" spans="1:27" x14ac:dyDescent="0.25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Budget]]*B51</f>
        <v>1200</v>
      </c>
      <c r="G19" s="10">
        <f>Table_AnnualReport[[#This Row],[Actual]]/Table_AnnualReport[[#This Row],[Annual Budget]]</f>
        <v>0</v>
      </c>
      <c r="H19" s="32">
        <f>Table_AnnualReport[[#This Row],[Actual]]/B49</f>
        <v>0</v>
      </c>
      <c r="J19" s="32">
        <f>January!D19</f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AA19" s="4">
        <v>1</v>
      </c>
    </row>
    <row r="20" spans="1:27" x14ac:dyDescent="0.25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Budget]]*B51</f>
        <v>120</v>
      </c>
      <c r="G20" s="10">
        <f>Table_AnnualReport[[#This Row],[Actual]]/Table_AnnualReport[[#This Row],[Annual Budget]]</f>
        <v>0</v>
      </c>
      <c r="H20" s="32">
        <f>Table_AnnualReport[[#This Row],[Actual]]/B49</f>
        <v>0</v>
      </c>
      <c r="J20" s="32">
        <f>January!D20</f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AA20" s="4">
        <v>1</v>
      </c>
    </row>
    <row r="21" spans="1:27" s="4" customFormat="1" x14ac:dyDescent="0.25">
      <c r="A21" s="26"/>
      <c r="B21" s="20"/>
      <c r="C21" s="20" t="s">
        <v>57</v>
      </c>
      <c r="D21" s="32">
        <f>SUM(Table_ActualExpenseMonth[#This Row])</f>
        <v>0</v>
      </c>
      <c r="E21" s="32">
        <v>5</v>
      </c>
      <c r="F21" s="32">
        <f>Table_AnnualReport[[#This Row],[Monthly Budget]]*B51</f>
        <v>60</v>
      </c>
      <c r="G21" s="10">
        <f>Table_AnnualReport[[#This Row],[Actual]]/Table_AnnualReport[[#This Row],[Annual Budget]]</f>
        <v>0</v>
      </c>
      <c r="H21" s="32">
        <f>Table_AnnualReport[[#This Row],[Actual]]/B49</f>
        <v>0</v>
      </c>
      <c r="J21" s="32">
        <f>January!D21</f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AA21" s="4">
        <v>1</v>
      </c>
    </row>
    <row r="22" spans="1:27" x14ac:dyDescent="0.25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Budget]]*B51</f>
        <v>120</v>
      </c>
      <c r="G22" s="10">
        <f>Table_AnnualReport[[#This Row],[Actual]]/Table_AnnualReport[[#This Row],[Annual Budget]]</f>
        <v>0</v>
      </c>
      <c r="H22" s="32">
        <f>Table_AnnualReport[[#This Row],[Actual]]/B49</f>
        <v>0</v>
      </c>
      <c r="J22" s="32">
        <f>January!D22</f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AA22" s="4">
        <v>1</v>
      </c>
    </row>
    <row r="23" spans="1:27" x14ac:dyDescent="0.25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Budget]]*B51</f>
        <v>1200</v>
      </c>
      <c r="G23" s="10">
        <f>Table_AnnualReport[[#This Row],[Actual]]/Table_AnnualReport[[#This Row],[Annual Budget]]</f>
        <v>0</v>
      </c>
      <c r="H23" s="32">
        <f>Table_AnnualReport[[#This Row],[Actual]]/B49</f>
        <v>0</v>
      </c>
      <c r="J23" s="32">
        <f>January!D23</f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AA23" s="4">
        <v>1</v>
      </c>
    </row>
    <row r="24" spans="1:27" x14ac:dyDescent="0.25">
      <c r="A24" s="26"/>
      <c r="B24" s="20"/>
      <c r="C24" s="19" t="s">
        <v>88</v>
      </c>
      <c r="D24" s="32">
        <f>SUM(Table_ActualExpenseMonth[#This Row])</f>
        <v>0</v>
      </c>
      <c r="E24" s="32">
        <v>30</v>
      </c>
      <c r="F24" s="32">
        <f>Table_AnnualReport[[#This Row],[Monthly Budget]]*B51</f>
        <v>360</v>
      </c>
      <c r="G24" s="10">
        <f>Table_AnnualReport[[#This Row],[Actual]]/Table_AnnualReport[[#This Row],[Annual Budget]]</f>
        <v>0</v>
      </c>
      <c r="H24" s="32">
        <f>Table_AnnualReport[[#This Row],[Actual]]/B49</f>
        <v>0</v>
      </c>
      <c r="J24" s="32">
        <f>January!D24</f>
        <v>0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AA24" s="4">
        <v>1</v>
      </c>
    </row>
    <row r="25" spans="1:27" x14ac:dyDescent="0.25">
      <c r="A25" s="26"/>
      <c r="B25" s="20"/>
      <c r="C25" s="19" t="s">
        <v>78</v>
      </c>
      <c r="D25" s="32">
        <f>SUM(Table_ActualExpenseMonth[#This Row])</f>
        <v>0</v>
      </c>
      <c r="E25" s="32">
        <v>10</v>
      </c>
      <c r="F25" s="32">
        <f>Table_AnnualReport[[#This Row],[Monthly Budget]]*B51</f>
        <v>120</v>
      </c>
      <c r="G25" s="10">
        <f>Table_AnnualReport[[#This Row],[Actual]]/Table_AnnualReport[[#This Row],[Annual Budget]]</f>
        <v>0</v>
      </c>
      <c r="H25" s="32">
        <f>Table_AnnualReport[[#This Row],[Actual]]/B49</f>
        <v>0</v>
      </c>
      <c r="J25" s="32">
        <f>January!D25</f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AA25" s="4">
        <v>1</v>
      </c>
    </row>
    <row r="26" spans="1:27" x14ac:dyDescent="0.25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Budget]]*B51</f>
        <v>1200</v>
      </c>
      <c r="G26" s="10">
        <f>Table_AnnualReport[[#This Row],[Actual]]/Table_AnnualReport[[#This Row],[Annual Budget]]</f>
        <v>0</v>
      </c>
      <c r="H26" s="32">
        <f>Table_AnnualReport[[#This Row],[Actual]]/B49</f>
        <v>0</v>
      </c>
      <c r="J26" s="32">
        <f>January!D26</f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AA26" s="4">
        <v>1</v>
      </c>
    </row>
    <row r="27" spans="1:27" x14ac:dyDescent="0.25">
      <c r="A27" s="26"/>
      <c r="B27" s="21" t="s">
        <v>92</v>
      </c>
      <c r="C27" s="22" t="s">
        <v>13</v>
      </c>
      <c r="D27" s="33">
        <f>SUM(Table_ActualExpenseMonth[#This Row])</f>
        <v>0</v>
      </c>
      <c r="E27" s="33">
        <v>0.01</v>
      </c>
      <c r="F27" s="33">
        <f>Table_AnnualReport[[#This Row],[Monthly Budget]]*B51</f>
        <v>0.12</v>
      </c>
      <c r="G27" s="11">
        <f>Table_AnnualReport[[#This Row],[Actual]]/Table_AnnualReport[[#This Row],[Annual Budget]]</f>
        <v>0</v>
      </c>
      <c r="H27" s="33">
        <f>Table_AnnualReport[[#This Row],[Actual]]/B49</f>
        <v>0</v>
      </c>
      <c r="J27" s="33">
        <f>January!D27</f>
        <v>0</v>
      </c>
      <c r="K27" s="33">
        <v>0</v>
      </c>
      <c r="L27" s="33">
        <v>0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AA27" s="4">
        <v>1</v>
      </c>
    </row>
    <row r="28" spans="1:27" x14ac:dyDescent="0.25">
      <c r="A28" s="26"/>
      <c r="B28" s="22"/>
      <c r="C28" s="22" t="s">
        <v>23</v>
      </c>
      <c r="D28" s="33">
        <f>SUM(Table_ActualExpenseMonth[#This Row])</f>
        <v>0</v>
      </c>
      <c r="E28" s="33">
        <v>0.01</v>
      </c>
      <c r="F28" s="33">
        <f>Table_AnnualReport[[#This Row],[Monthly Budget]]*B51</f>
        <v>0.12</v>
      </c>
      <c r="G28" s="11">
        <f>Table_AnnualReport[[#This Row],[Actual]]/Table_AnnualReport[[#This Row],[Annual Budget]]</f>
        <v>0</v>
      </c>
      <c r="H28" s="33">
        <f>Table_AnnualReport[[#This Row],[Actual]]/B49</f>
        <v>0</v>
      </c>
      <c r="J28" s="33">
        <f>January!D28</f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AA28" s="4">
        <v>1</v>
      </c>
    </row>
    <row r="29" spans="1:27" x14ac:dyDescent="0.25">
      <c r="A29" s="26"/>
      <c r="B29" s="22"/>
      <c r="C29" s="21" t="s">
        <v>51</v>
      </c>
      <c r="D29" s="33">
        <f>SUM(Table_ActualExpenseMonth[#This Row])</f>
        <v>0</v>
      </c>
      <c r="E29" s="33">
        <v>100</v>
      </c>
      <c r="F29" s="33">
        <f>Table_AnnualReport[[#This Row],[Monthly Budget]]*B51</f>
        <v>1200</v>
      </c>
      <c r="G29" s="11">
        <f>Table_AnnualReport[[#This Row],[Actual]]/Table_AnnualReport[[#This Row],[Annual Budget]]</f>
        <v>0</v>
      </c>
      <c r="H29" s="33">
        <f>Table_AnnualReport[[#This Row],[Actual]]/B49</f>
        <v>0</v>
      </c>
      <c r="J29" s="33">
        <f>January!D29</f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AA29" s="4">
        <v>1</v>
      </c>
    </row>
    <row r="30" spans="1:27" x14ac:dyDescent="0.25">
      <c r="A30" s="26"/>
      <c r="B30" s="22"/>
      <c r="C30" s="22" t="s">
        <v>25</v>
      </c>
      <c r="D30" s="33">
        <f>SUM(Table_ActualExpenseMonth[#This Row])</f>
        <v>0</v>
      </c>
      <c r="E30" s="33">
        <v>0.01</v>
      </c>
      <c r="F30" s="33">
        <f>Table_AnnualReport[[#This Row],[Monthly Budget]]*B51</f>
        <v>0.12</v>
      </c>
      <c r="G30" s="11">
        <f>Table_AnnualReport[[#This Row],[Actual]]/Table_AnnualReport[[#This Row],[Annual Budget]]</f>
        <v>0</v>
      </c>
      <c r="H30" s="33">
        <f>Table_AnnualReport[[#This Row],[Actual]]/B49</f>
        <v>0</v>
      </c>
      <c r="J30" s="33">
        <f>January!D30</f>
        <v>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AA30" s="4">
        <v>1</v>
      </c>
    </row>
    <row r="31" spans="1:27" x14ac:dyDescent="0.25">
      <c r="A31" s="27"/>
      <c r="B31" s="22"/>
      <c r="C31" s="22" t="s">
        <v>33</v>
      </c>
      <c r="D31" s="33">
        <f>SUM(Table_ActualExpenseMonth[#This Row])</f>
        <v>0</v>
      </c>
      <c r="E31" s="33">
        <v>30</v>
      </c>
      <c r="F31" s="33">
        <f>Table_AnnualReport[[#This Row],[Monthly Budget]]*B51</f>
        <v>360</v>
      </c>
      <c r="G31" s="11">
        <f>Table_AnnualReport[[#This Row],[Actual]]/Table_AnnualReport[[#This Row],[Annual Budget]]</f>
        <v>0</v>
      </c>
      <c r="H31" s="33">
        <f>Table_AnnualReport[[#This Row],[Actual]]/B49</f>
        <v>0</v>
      </c>
      <c r="J31" s="33">
        <f>January!D31</f>
        <v>0</v>
      </c>
      <c r="K31" s="33">
        <v>0</v>
      </c>
      <c r="L31" s="33">
        <v>0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AA31" s="4">
        <v>1</v>
      </c>
    </row>
    <row r="32" spans="1:27" x14ac:dyDescent="0.25">
      <c r="A32" s="27"/>
      <c r="B32" s="23" t="s">
        <v>45</v>
      </c>
      <c r="C32" s="24" t="s">
        <v>37</v>
      </c>
      <c r="D32" s="34">
        <f>SUM(Table_ActualExpenseMonth[#This Row])</f>
        <v>0</v>
      </c>
      <c r="E32" s="34">
        <v>100</v>
      </c>
      <c r="F32" s="34">
        <f>Table_AnnualReport[[#This Row],[Monthly Budget]]*B51</f>
        <v>1200</v>
      </c>
      <c r="G32" s="95">
        <f>Table_AnnualReport[[#This Row],[Actual]]/Table_AnnualReport[[#This Row],[Annual Budget]]</f>
        <v>0</v>
      </c>
      <c r="H32" s="34">
        <f>Table_AnnualReport[[#This Row],[Actual]]/B49</f>
        <v>0</v>
      </c>
      <c r="J32" s="34">
        <f>January!D32</f>
        <v>0</v>
      </c>
      <c r="K32" s="34">
        <v>0</v>
      </c>
      <c r="L32" s="34">
        <v>0</v>
      </c>
      <c r="M32" s="34">
        <v>0</v>
      </c>
      <c r="N32" s="34">
        <v>0</v>
      </c>
      <c r="O32" s="34">
        <v>0</v>
      </c>
      <c r="P32" s="34">
        <v>0</v>
      </c>
      <c r="Q32" s="34">
        <v>0</v>
      </c>
      <c r="R32" s="34">
        <v>0</v>
      </c>
      <c r="S32" s="34">
        <v>0</v>
      </c>
      <c r="T32" s="34">
        <v>0</v>
      </c>
      <c r="U32" s="34">
        <v>0</v>
      </c>
      <c r="AA32" s="4">
        <v>1</v>
      </c>
    </row>
    <row r="33" spans="1:27" x14ac:dyDescent="0.25">
      <c r="A33" s="26"/>
      <c r="B33" s="23"/>
      <c r="C33" s="23" t="s">
        <v>47</v>
      </c>
      <c r="D33" s="34">
        <f>SUM(Table_ActualExpenseMonth[#This Row])</f>
        <v>0</v>
      </c>
      <c r="E33" s="34">
        <v>30</v>
      </c>
      <c r="F33" s="34">
        <f>Table_AnnualReport[[#This Row],[Monthly Budget]]*B51</f>
        <v>360</v>
      </c>
      <c r="G33" s="95">
        <f>Table_AnnualReport[[#This Row],[Actual]]/Table_AnnualReport[[#This Row],[Annual Budget]]</f>
        <v>0</v>
      </c>
      <c r="H33" s="34">
        <f>Table_AnnualReport[[#This Row],[Actual]]/B49</f>
        <v>0</v>
      </c>
      <c r="J33" s="34">
        <f>January!D33</f>
        <v>0</v>
      </c>
      <c r="K33" s="34">
        <v>0</v>
      </c>
      <c r="L33" s="34">
        <v>0</v>
      </c>
      <c r="M33" s="34">
        <v>0</v>
      </c>
      <c r="N33" s="34">
        <v>0</v>
      </c>
      <c r="O33" s="34">
        <v>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AA33" s="4">
        <v>1</v>
      </c>
    </row>
    <row r="34" spans="1:27" x14ac:dyDescent="0.25">
      <c r="A34" s="26"/>
      <c r="B34" s="23"/>
      <c r="C34" s="23" t="s">
        <v>7</v>
      </c>
      <c r="D34" s="34">
        <f>SUM(Table_ActualExpenseMonth[#This Row])</f>
        <v>0</v>
      </c>
      <c r="E34" s="34">
        <v>50</v>
      </c>
      <c r="F34" s="34">
        <f>Table_AnnualReport[[#This Row],[Monthly Budget]]*B51</f>
        <v>600</v>
      </c>
      <c r="G34" s="95">
        <f>Table_AnnualReport[[#This Row],[Actual]]/Table_AnnualReport[[#This Row],[Annual Budget]]</f>
        <v>0</v>
      </c>
      <c r="H34" s="34">
        <f>Table_AnnualReport[[#This Row],[Actual]]/B49</f>
        <v>0</v>
      </c>
      <c r="J34" s="34">
        <f>January!D34</f>
        <v>0</v>
      </c>
      <c r="K34" s="34">
        <v>0</v>
      </c>
      <c r="L34" s="34">
        <v>0</v>
      </c>
      <c r="M34" s="34">
        <v>0</v>
      </c>
      <c r="N34" s="34">
        <v>0</v>
      </c>
      <c r="O34" s="34"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AA34">
        <v>1</v>
      </c>
    </row>
    <row r="35" spans="1:27" x14ac:dyDescent="0.25">
      <c r="B35" s="5" t="s">
        <v>54</v>
      </c>
      <c r="C35" s="5" t="s">
        <v>55</v>
      </c>
      <c r="D35" s="35">
        <f>SUM(Table_ActualExpenseMonth[#This Row])</f>
        <v>200</v>
      </c>
      <c r="E35" s="37">
        <v>200</v>
      </c>
      <c r="F35" s="35">
        <f>Table_AnnualReport[[#This Row],[Monthly Budget]]*B51</f>
        <v>2400</v>
      </c>
      <c r="G35" s="64">
        <f>Table_AnnualReport[[#This Row],[Actual]]/Table_AnnualReport[[#This Row],[Annual Budget]]</f>
        <v>8.3333333333333329E-2</v>
      </c>
      <c r="H35" s="35">
        <f>Table_AnnualReport[[#This Row],[Actual]]/B49</f>
        <v>200</v>
      </c>
      <c r="J35" s="37">
        <f>January!D35</f>
        <v>200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P35" s="37">
        <v>0</v>
      </c>
      <c r="Q35" s="37">
        <v>0</v>
      </c>
      <c r="R35" s="37">
        <v>0</v>
      </c>
      <c r="S35" s="37">
        <v>0</v>
      </c>
      <c r="T35" s="37">
        <v>0</v>
      </c>
      <c r="U35" s="37">
        <v>0</v>
      </c>
      <c r="AA35">
        <v>1</v>
      </c>
    </row>
    <row r="36" spans="1:27" s="4" customFormat="1" x14ac:dyDescent="0.25">
      <c r="A36"/>
      <c r="B36" s="6"/>
      <c r="C36" s="5" t="s">
        <v>56</v>
      </c>
      <c r="D36" s="35">
        <f>SUM(Table_ActualExpenseMonth[#This Row])</f>
        <v>0</v>
      </c>
      <c r="E36" s="37">
        <v>30</v>
      </c>
      <c r="F36" s="35">
        <f>Table_AnnualReport[[#This Row],[Monthly Budget]]*B51</f>
        <v>360</v>
      </c>
      <c r="G36" s="64">
        <f>Table_AnnualReport[[#This Row],[Actual]]/Table_AnnualReport[[#This Row],[Annual Budget]]</f>
        <v>0</v>
      </c>
      <c r="H36" s="35">
        <f>Table_AnnualReport[[#This Row],[Actual]]/B49</f>
        <v>0</v>
      </c>
      <c r="J36" s="37">
        <f>January!D36</f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P36" s="37">
        <v>0</v>
      </c>
      <c r="Q36" s="37">
        <v>0</v>
      </c>
      <c r="R36" s="37">
        <v>0</v>
      </c>
      <c r="S36" s="37">
        <v>0</v>
      </c>
      <c r="T36" s="37">
        <v>0</v>
      </c>
      <c r="U36" s="37">
        <v>0</v>
      </c>
      <c r="AA36" s="4">
        <v>1</v>
      </c>
    </row>
    <row r="37" spans="1:27" s="4" customFormat="1" x14ac:dyDescent="0.25">
      <c r="B37" s="6"/>
      <c r="C37" s="5" t="s">
        <v>66</v>
      </c>
      <c r="D37" s="35">
        <f>SUM(Table_ActualExpenseMonth[#This Row])</f>
        <v>0</v>
      </c>
      <c r="E37" s="37">
        <v>15</v>
      </c>
      <c r="F37" s="35">
        <f>Table_AnnualReport[[#This Row],[Monthly Budget]]*B51</f>
        <v>180</v>
      </c>
      <c r="G37" s="64">
        <f>Table_AnnualReport[[#This Row],[Actual]]/Table_AnnualReport[[#This Row],[Annual Budget]]</f>
        <v>0</v>
      </c>
      <c r="H37" s="35">
        <f>Table_AnnualReport[[#This Row],[Actual]]/B49</f>
        <v>0</v>
      </c>
      <c r="J37" s="37">
        <f>January!D37</f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P37" s="37">
        <v>0</v>
      </c>
      <c r="Q37" s="37">
        <v>0</v>
      </c>
      <c r="R37" s="37">
        <v>0</v>
      </c>
      <c r="S37" s="37">
        <v>0</v>
      </c>
      <c r="T37" s="37">
        <v>0</v>
      </c>
      <c r="U37" s="37">
        <v>0</v>
      </c>
      <c r="AA37" s="4">
        <v>1</v>
      </c>
    </row>
    <row r="38" spans="1:27" s="4" customFormat="1" x14ac:dyDescent="0.25">
      <c r="A38"/>
      <c r="B38"/>
      <c r="C38"/>
      <c r="D38" s="36"/>
      <c r="E38" s="36"/>
      <c r="F38" s="36"/>
      <c r="G38" s="36"/>
      <c r="H38" s="36"/>
      <c r="J38"/>
      <c r="K38"/>
      <c r="L38"/>
      <c r="M38"/>
      <c r="N38"/>
      <c r="O38"/>
      <c r="P38" s="36"/>
      <c r="R38"/>
      <c r="S38"/>
      <c r="T38"/>
      <c r="U38"/>
    </row>
    <row r="39" spans="1:27" s="4" customFormat="1" x14ac:dyDescent="0.25">
      <c r="C39" s="77" t="s">
        <v>17</v>
      </c>
      <c r="D39" s="78">
        <f>SUM(D2:D3)</f>
        <v>2000</v>
      </c>
      <c r="E39" s="78">
        <f>SUM(E2:E3)</f>
        <v>2100</v>
      </c>
      <c r="F39" s="78">
        <f>SUM(F2:F3)</f>
        <v>25200</v>
      </c>
      <c r="G39" s="96">
        <f>D39/F39</f>
        <v>7.9365079365079361E-2</v>
      </c>
      <c r="H39" s="78">
        <f>D39/B49</f>
        <v>2000</v>
      </c>
      <c r="J39" s="78">
        <f t="shared" ref="J39:U39" si="0">SUM(J2:J3)</f>
        <v>2000</v>
      </c>
      <c r="K39" s="78">
        <f t="shared" si="0"/>
        <v>0</v>
      </c>
      <c r="L39" s="78">
        <f t="shared" si="0"/>
        <v>0</v>
      </c>
      <c r="M39" s="78">
        <f t="shared" si="0"/>
        <v>0</v>
      </c>
      <c r="N39" s="78">
        <f t="shared" si="0"/>
        <v>0</v>
      </c>
      <c r="O39" s="78">
        <f t="shared" si="0"/>
        <v>0</v>
      </c>
      <c r="P39" s="78">
        <f t="shared" si="0"/>
        <v>0</v>
      </c>
      <c r="Q39" s="78">
        <f t="shared" si="0"/>
        <v>0</v>
      </c>
      <c r="R39" s="78">
        <f t="shared" si="0"/>
        <v>0</v>
      </c>
      <c r="S39" s="78">
        <f t="shared" si="0"/>
        <v>0</v>
      </c>
      <c r="T39" s="78">
        <f t="shared" si="0"/>
        <v>0</v>
      </c>
      <c r="U39" s="78">
        <f t="shared" si="0"/>
        <v>0</v>
      </c>
    </row>
    <row r="40" spans="1:27" s="4" customFormat="1" x14ac:dyDescent="0.25">
      <c r="C40" s="79" t="s">
        <v>35</v>
      </c>
      <c r="D40" s="80">
        <f>SUM(D4:D8)</f>
        <v>0</v>
      </c>
      <c r="E40" s="80">
        <f>SUM(E4:E8)</f>
        <v>320.01</v>
      </c>
      <c r="F40" s="80">
        <f>SUM(F4:F8)</f>
        <v>3840.12</v>
      </c>
      <c r="G40" s="97">
        <f t="shared" ref="G40:G47" si="1">D40/F40</f>
        <v>0</v>
      </c>
      <c r="H40" s="80">
        <f>D40/B49</f>
        <v>0</v>
      </c>
      <c r="J40" s="80">
        <f t="shared" ref="J40:U40" si="2">SUM(J4:J8)</f>
        <v>0</v>
      </c>
      <c r="K40" s="80">
        <f t="shared" si="2"/>
        <v>0</v>
      </c>
      <c r="L40" s="80">
        <f t="shared" si="2"/>
        <v>0</v>
      </c>
      <c r="M40" s="80">
        <f t="shared" si="2"/>
        <v>0</v>
      </c>
      <c r="N40" s="80">
        <f t="shared" si="2"/>
        <v>0</v>
      </c>
      <c r="O40" s="80">
        <f t="shared" si="2"/>
        <v>0</v>
      </c>
      <c r="P40" s="80">
        <f t="shared" si="2"/>
        <v>0</v>
      </c>
      <c r="Q40" s="80">
        <f t="shared" si="2"/>
        <v>0</v>
      </c>
      <c r="R40" s="80">
        <f t="shared" si="2"/>
        <v>0</v>
      </c>
      <c r="S40" s="80">
        <f t="shared" si="2"/>
        <v>0</v>
      </c>
      <c r="T40" s="80">
        <f t="shared" si="2"/>
        <v>0</v>
      </c>
      <c r="U40" s="80">
        <f t="shared" si="2"/>
        <v>0</v>
      </c>
    </row>
    <row r="41" spans="1:27" s="4" customFormat="1" x14ac:dyDescent="0.25">
      <c r="C41" s="81" t="s">
        <v>16</v>
      </c>
      <c r="D41" s="82">
        <f>SUM(D9:D13)</f>
        <v>300</v>
      </c>
      <c r="E41" s="82">
        <f>SUM(E9:E13)</f>
        <v>356</v>
      </c>
      <c r="F41" s="82">
        <f>SUM(F9:F13)</f>
        <v>4272</v>
      </c>
      <c r="G41" s="98">
        <f t="shared" si="1"/>
        <v>7.02247191011236E-2</v>
      </c>
      <c r="H41" s="82">
        <f>D41/B49</f>
        <v>300</v>
      </c>
      <c r="J41" s="82">
        <f t="shared" ref="J41:U41" si="3">SUM(J9:J13)</f>
        <v>300</v>
      </c>
      <c r="K41" s="82">
        <f t="shared" si="3"/>
        <v>0</v>
      </c>
      <c r="L41" s="82">
        <f t="shared" si="3"/>
        <v>0</v>
      </c>
      <c r="M41" s="82">
        <f t="shared" si="3"/>
        <v>0</v>
      </c>
      <c r="N41" s="82">
        <f t="shared" si="3"/>
        <v>0</v>
      </c>
      <c r="O41" s="82">
        <f t="shared" si="3"/>
        <v>0</v>
      </c>
      <c r="P41" s="82">
        <f t="shared" si="3"/>
        <v>0</v>
      </c>
      <c r="Q41" s="82">
        <f t="shared" si="3"/>
        <v>0</v>
      </c>
      <c r="R41" s="82">
        <f t="shared" si="3"/>
        <v>0</v>
      </c>
      <c r="S41" s="82">
        <f t="shared" si="3"/>
        <v>0</v>
      </c>
      <c r="T41" s="82">
        <f t="shared" si="3"/>
        <v>0</v>
      </c>
      <c r="U41" s="82">
        <f t="shared" si="3"/>
        <v>0</v>
      </c>
    </row>
    <row r="42" spans="1:27" s="4" customFormat="1" x14ac:dyDescent="0.25">
      <c r="C42" s="83" t="s">
        <v>34</v>
      </c>
      <c r="D42" s="84">
        <f>SUM(D14:D25)</f>
        <v>0</v>
      </c>
      <c r="E42" s="84">
        <f>SUM(E14:E26)</f>
        <v>475</v>
      </c>
      <c r="F42" s="84">
        <f>SUM(F14:F25)</f>
        <v>4500</v>
      </c>
      <c r="G42" s="99">
        <f t="shared" si="1"/>
        <v>0</v>
      </c>
      <c r="H42" s="84">
        <f>D42/B49</f>
        <v>0</v>
      </c>
      <c r="J42" s="84">
        <f t="shared" ref="J42:U42" si="4">SUM(J14:J24)</f>
        <v>0</v>
      </c>
      <c r="K42" s="84">
        <f t="shared" si="4"/>
        <v>0</v>
      </c>
      <c r="L42" s="84">
        <f t="shared" si="4"/>
        <v>0</v>
      </c>
      <c r="M42" s="84">
        <f t="shared" si="4"/>
        <v>0</v>
      </c>
      <c r="N42" s="84">
        <f t="shared" si="4"/>
        <v>0</v>
      </c>
      <c r="O42" s="84">
        <f t="shared" si="4"/>
        <v>0</v>
      </c>
      <c r="P42" s="84">
        <f t="shared" si="4"/>
        <v>0</v>
      </c>
      <c r="Q42" s="84">
        <f t="shared" si="4"/>
        <v>0</v>
      </c>
      <c r="R42" s="84">
        <f t="shared" si="4"/>
        <v>0</v>
      </c>
      <c r="S42" s="84">
        <f t="shared" si="4"/>
        <v>0</v>
      </c>
      <c r="T42" s="84">
        <f t="shared" si="4"/>
        <v>0</v>
      </c>
      <c r="U42" s="84">
        <f t="shared" si="4"/>
        <v>0</v>
      </c>
    </row>
    <row r="43" spans="1:27" x14ac:dyDescent="0.25">
      <c r="A43" s="4"/>
      <c r="B43" s="4"/>
      <c r="C43" s="85" t="s">
        <v>92</v>
      </c>
      <c r="D43" s="86">
        <f>SUM(D27:D31)</f>
        <v>0</v>
      </c>
      <c r="E43" s="86">
        <f>SUM(E27:E31)</f>
        <v>130.03</v>
      </c>
      <c r="F43" s="86">
        <f>SUM(F27:F31)</f>
        <v>1560.36</v>
      </c>
      <c r="G43" s="100">
        <f t="shared" si="1"/>
        <v>0</v>
      </c>
      <c r="H43" s="86">
        <f>D43/B49</f>
        <v>0</v>
      </c>
      <c r="I43" s="4"/>
      <c r="J43" s="86">
        <f t="shared" ref="J43:U43" si="5">SUM(J27:J31)</f>
        <v>0</v>
      </c>
      <c r="K43" s="86">
        <f t="shared" si="5"/>
        <v>0</v>
      </c>
      <c r="L43" s="86">
        <f t="shared" si="5"/>
        <v>0</v>
      </c>
      <c r="M43" s="86">
        <f t="shared" si="5"/>
        <v>0</v>
      </c>
      <c r="N43" s="86">
        <f t="shared" si="5"/>
        <v>0</v>
      </c>
      <c r="O43" s="86">
        <f t="shared" si="5"/>
        <v>0</v>
      </c>
      <c r="P43" s="86">
        <f t="shared" si="5"/>
        <v>0</v>
      </c>
      <c r="Q43" s="86">
        <f t="shared" si="5"/>
        <v>0</v>
      </c>
      <c r="R43" s="86">
        <f t="shared" si="5"/>
        <v>0</v>
      </c>
      <c r="S43" s="86">
        <f t="shared" si="5"/>
        <v>0</v>
      </c>
      <c r="T43" s="86">
        <f t="shared" si="5"/>
        <v>0</v>
      </c>
      <c r="U43" s="86">
        <f t="shared" si="5"/>
        <v>0</v>
      </c>
    </row>
    <row r="44" spans="1:27" s="4" customFormat="1" x14ac:dyDescent="0.25">
      <c r="C44" s="87" t="s">
        <v>45</v>
      </c>
      <c r="D44" s="88">
        <f>SUM(D32:D33)</f>
        <v>0</v>
      </c>
      <c r="E44" s="88">
        <f>SUM(E32:E33)</f>
        <v>130</v>
      </c>
      <c r="F44" s="88">
        <f>SUM(F32:F33)</f>
        <v>1560</v>
      </c>
      <c r="G44" s="101">
        <f t="shared" si="1"/>
        <v>0</v>
      </c>
      <c r="H44" s="88">
        <f>D44/B49</f>
        <v>0</v>
      </c>
      <c r="J44" s="88">
        <f t="shared" ref="J44:U44" si="6">SUM(J32:J33)</f>
        <v>0</v>
      </c>
      <c r="K44" s="88">
        <f t="shared" si="6"/>
        <v>0</v>
      </c>
      <c r="L44" s="88">
        <f t="shared" si="6"/>
        <v>0</v>
      </c>
      <c r="M44" s="88">
        <f t="shared" si="6"/>
        <v>0</v>
      </c>
      <c r="N44" s="88">
        <f t="shared" si="6"/>
        <v>0</v>
      </c>
      <c r="O44" s="88">
        <f t="shared" si="6"/>
        <v>0</v>
      </c>
      <c r="P44" s="88">
        <f t="shared" si="6"/>
        <v>0</v>
      </c>
      <c r="Q44" s="88">
        <f t="shared" si="6"/>
        <v>0</v>
      </c>
      <c r="R44" s="88">
        <f t="shared" si="6"/>
        <v>0</v>
      </c>
      <c r="S44" s="88">
        <f t="shared" si="6"/>
        <v>0</v>
      </c>
      <c r="T44" s="88">
        <f t="shared" si="6"/>
        <v>0</v>
      </c>
      <c r="U44" s="88">
        <f t="shared" si="6"/>
        <v>0</v>
      </c>
    </row>
    <row r="45" spans="1:27" s="4" customFormat="1" x14ac:dyDescent="0.25">
      <c r="C45" s="89" t="s">
        <v>54</v>
      </c>
      <c r="D45" s="90">
        <f>SUM(D35:D37)</f>
        <v>200</v>
      </c>
      <c r="E45" s="90">
        <f>SUM(E35:E37)</f>
        <v>245</v>
      </c>
      <c r="F45" s="90">
        <f>SUM(F35:F37)</f>
        <v>2940</v>
      </c>
      <c r="G45" s="102">
        <f t="shared" si="1"/>
        <v>6.8027210884353748E-2</v>
      </c>
      <c r="H45" s="90">
        <f>D45/B49</f>
        <v>200</v>
      </c>
      <c r="J45" s="90">
        <f t="shared" ref="J45:U45" si="7">SUM(J34:J36)</f>
        <v>200</v>
      </c>
      <c r="K45" s="90">
        <f t="shared" si="7"/>
        <v>0</v>
      </c>
      <c r="L45" s="90">
        <f t="shared" si="7"/>
        <v>0</v>
      </c>
      <c r="M45" s="90">
        <f t="shared" si="7"/>
        <v>0</v>
      </c>
      <c r="N45" s="90">
        <f t="shared" si="7"/>
        <v>0</v>
      </c>
      <c r="O45" s="90">
        <f t="shared" si="7"/>
        <v>0</v>
      </c>
      <c r="P45" s="90">
        <f t="shared" si="7"/>
        <v>0</v>
      </c>
      <c r="Q45" s="90">
        <f t="shared" si="7"/>
        <v>0</v>
      </c>
      <c r="R45" s="90">
        <f t="shared" si="7"/>
        <v>0</v>
      </c>
      <c r="S45" s="90">
        <f t="shared" si="7"/>
        <v>0</v>
      </c>
      <c r="T45" s="90">
        <f t="shared" si="7"/>
        <v>0</v>
      </c>
      <c r="U45" s="90">
        <f t="shared" si="7"/>
        <v>0</v>
      </c>
    </row>
    <row r="46" spans="1:27" s="4" customFormat="1" x14ac:dyDescent="0.25">
      <c r="C46" s="92" t="s">
        <v>20</v>
      </c>
      <c r="D46" s="91">
        <f>SUM(D40:D45)</f>
        <v>500</v>
      </c>
      <c r="E46" s="91">
        <f t="shared" ref="E46:H46" si="8">SUM(E40:E45)</f>
        <v>1656.04</v>
      </c>
      <c r="F46" s="91">
        <f t="shared" si="8"/>
        <v>18672.48</v>
      </c>
      <c r="G46" s="103">
        <f t="shared" si="1"/>
        <v>2.6777375046057084E-2</v>
      </c>
      <c r="H46" s="91">
        <f t="shared" si="8"/>
        <v>500</v>
      </c>
      <c r="I46" s="1" t="s">
        <v>72</v>
      </c>
      <c r="J46" s="91">
        <f>SUM(J40:J45)</f>
        <v>500</v>
      </c>
      <c r="K46" s="91">
        <f t="shared" ref="K46:U46" si="9">SUM(K40:K45)</f>
        <v>0</v>
      </c>
      <c r="L46" s="91">
        <f t="shared" si="9"/>
        <v>0</v>
      </c>
      <c r="M46" s="91">
        <f t="shared" si="9"/>
        <v>0</v>
      </c>
      <c r="N46" s="91">
        <f t="shared" si="9"/>
        <v>0</v>
      </c>
      <c r="O46" s="91">
        <f t="shared" si="9"/>
        <v>0</v>
      </c>
      <c r="P46" s="91">
        <f t="shared" si="9"/>
        <v>0</v>
      </c>
      <c r="Q46" s="91">
        <f t="shared" si="9"/>
        <v>0</v>
      </c>
      <c r="R46" s="91">
        <f t="shared" si="9"/>
        <v>0</v>
      </c>
      <c r="S46" s="91">
        <f t="shared" si="9"/>
        <v>0</v>
      </c>
      <c r="T46" s="91">
        <f t="shared" si="9"/>
        <v>0</v>
      </c>
      <c r="U46" s="91">
        <f t="shared" si="9"/>
        <v>0</v>
      </c>
    </row>
    <row r="47" spans="1:27" s="4" customFormat="1" ht="15.75" thickBot="1" x14ac:dyDescent="0.3">
      <c r="A47" s="1"/>
      <c r="B47"/>
      <c r="C47" s="70" t="s">
        <v>67</v>
      </c>
      <c r="D47" s="71">
        <f>SUM(D2:D3)-SUM(D4:D37)</f>
        <v>1500</v>
      </c>
      <c r="E47" s="71">
        <f>SUM(E2:E3)-SUM(E4:E37)</f>
        <v>393.96000000000004</v>
      </c>
      <c r="F47" s="71">
        <f>SUM(F2:F3)-SUM(F4:F37)</f>
        <v>4727.5199999999968</v>
      </c>
      <c r="G47" s="104">
        <f t="shared" si="1"/>
        <v>0.31729109554269491</v>
      </c>
      <c r="H47" s="71">
        <f>D47/B49</f>
        <v>1500</v>
      </c>
      <c r="I47" s="1" t="s">
        <v>73</v>
      </c>
      <c r="J47" s="71">
        <f t="shared" ref="J47:U47" si="10">SUM(J2:J3)-SUM(J4:J36)</f>
        <v>1500</v>
      </c>
      <c r="K47" s="71">
        <f t="shared" si="10"/>
        <v>0</v>
      </c>
      <c r="L47" s="71">
        <f t="shared" si="10"/>
        <v>0</v>
      </c>
      <c r="M47" s="71">
        <f t="shared" si="10"/>
        <v>0</v>
      </c>
      <c r="N47" s="71">
        <f t="shared" si="10"/>
        <v>0</v>
      </c>
      <c r="O47" s="71">
        <f t="shared" si="10"/>
        <v>0</v>
      </c>
      <c r="P47" s="71">
        <f t="shared" si="10"/>
        <v>0</v>
      </c>
      <c r="Q47" s="71">
        <f t="shared" si="10"/>
        <v>0</v>
      </c>
      <c r="R47" s="71">
        <f t="shared" si="10"/>
        <v>0</v>
      </c>
      <c r="S47" s="71">
        <f t="shared" si="10"/>
        <v>0</v>
      </c>
      <c r="T47" s="71">
        <f t="shared" si="10"/>
        <v>0</v>
      </c>
      <c r="U47" s="71">
        <f t="shared" si="10"/>
        <v>0</v>
      </c>
    </row>
    <row r="48" spans="1:27" ht="16.5" thickTop="1" thickBot="1" x14ac:dyDescent="0.3">
      <c r="A48" s="1"/>
      <c r="B48" s="4"/>
      <c r="C48" s="4"/>
      <c r="D48" s="4"/>
      <c r="E48" s="1"/>
      <c r="F48" s="4"/>
      <c r="G48" s="4"/>
      <c r="H48" s="4"/>
      <c r="I48" s="1" t="s">
        <v>74</v>
      </c>
      <c r="J48" s="71">
        <f>J47</f>
        <v>1500</v>
      </c>
      <c r="K48" s="71">
        <f>J48+K47</f>
        <v>1500</v>
      </c>
      <c r="L48" s="71">
        <f>K48+L47</f>
        <v>1500</v>
      </c>
      <c r="M48" s="71">
        <f t="shared" ref="M48:U48" si="11">L48+M47</f>
        <v>1500</v>
      </c>
      <c r="N48" s="71">
        <f t="shared" si="11"/>
        <v>1500</v>
      </c>
      <c r="O48" s="71">
        <f t="shared" si="11"/>
        <v>1500</v>
      </c>
      <c r="P48" s="71">
        <f t="shared" si="11"/>
        <v>1500</v>
      </c>
      <c r="Q48" s="71">
        <f t="shared" si="11"/>
        <v>1500</v>
      </c>
      <c r="R48" s="71">
        <f t="shared" si="11"/>
        <v>1500</v>
      </c>
      <c r="S48" s="71">
        <f t="shared" si="11"/>
        <v>1500</v>
      </c>
      <c r="T48" s="71">
        <f t="shared" si="11"/>
        <v>1500</v>
      </c>
      <c r="U48" s="71">
        <f t="shared" si="11"/>
        <v>1500</v>
      </c>
    </row>
    <row r="49" spans="1:21" ht="16.5" thickTop="1" thickBot="1" x14ac:dyDescent="0.3">
      <c r="A49" s="1" t="s">
        <v>77</v>
      </c>
      <c r="B49" s="4">
        <v>1</v>
      </c>
      <c r="C49" s="4"/>
      <c r="D49" s="4"/>
      <c r="E49" s="1"/>
      <c r="F49" s="4"/>
      <c r="G49" s="4"/>
      <c r="H49" s="4"/>
      <c r="J49" s="71">
        <f>SUM(I47,'Annual Expense Report'!G7:H8)</f>
        <v>1500</v>
      </c>
      <c r="K49" s="71">
        <f>SUM(J49,'Annual Expense Report'!G7:H8)</f>
        <v>3000</v>
      </c>
      <c r="L49" s="71">
        <f>SUM(K49,'Annual Expense Report'!G7:H8)</f>
        <v>4500</v>
      </c>
      <c r="M49" s="71">
        <f>SUM(L49,'Annual Expense Report'!G7:H8)</f>
        <v>6000</v>
      </c>
      <c r="N49" s="71">
        <f>SUM(M49,'Annual Expense Report'!G7:H8)</f>
        <v>7500</v>
      </c>
      <c r="O49" s="71">
        <f>SUM(N49,'Annual Expense Report'!G7:H8)</f>
        <v>9000</v>
      </c>
      <c r="P49" s="71">
        <f>SUM(O49,'Annual Expense Report'!G7:H8)</f>
        <v>10500</v>
      </c>
      <c r="Q49" s="71">
        <f>SUM(P49,'Annual Expense Report'!G7:H8)</f>
        <v>12000</v>
      </c>
      <c r="R49" s="71">
        <f>SUM(Q49,'Annual Expense Report'!G7:H8)</f>
        <v>13500</v>
      </c>
      <c r="S49" s="71">
        <f>SUM(R49,'Annual Expense Report'!G7:H8)</f>
        <v>15000</v>
      </c>
      <c r="T49" s="71">
        <f>SUM(S49,'Annual Expense Report'!G7:H8)</f>
        <v>16500</v>
      </c>
      <c r="U49" s="71">
        <f>SUM(T49,'Annual Expense Report'!G7:H8)</f>
        <v>18000</v>
      </c>
    </row>
    <row r="50" spans="1:21" ht="16.5" thickTop="1" thickBot="1" x14ac:dyDescent="0.3">
      <c r="A50" s="1" t="s">
        <v>76</v>
      </c>
      <c r="B50" s="4">
        <f>B51-B49</f>
        <v>11</v>
      </c>
      <c r="C50" s="4"/>
      <c r="D50" s="4"/>
      <c r="E50" s="1"/>
      <c r="F50" s="4"/>
      <c r="G50" s="4"/>
      <c r="H50" s="4"/>
      <c r="J50" s="71">
        <f>E47</f>
        <v>393.96000000000004</v>
      </c>
      <c r="K50" s="71">
        <f>J50+E47</f>
        <v>787.92000000000007</v>
      </c>
      <c r="L50" s="71">
        <f>K50+E47</f>
        <v>1181.8800000000001</v>
      </c>
      <c r="M50" s="71">
        <f>L50+E47</f>
        <v>1575.8400000000001</v>
      </c>
      <c r="N50" s="71">
        <f>M50+E47</f>
        <v>1969.8000000000002</v>
      </c>
      <c r="O50" s="71">
        <f>N50+E47</f>
        <v>2363.7600000000002</v>
      </c>
      <c r="P50" s="71">
        <f>O50+E47</f>
        <v>2757.7200000000003</v>
      </c>
      <c r="Q50" s="71">
        <f>P50+E47</f>
        <v>3151.6800000000003</v>
      </c>
      <c r="R50" s="71">
        <f>Q50+E47</f>
        <v>3545.6400000000003</v>
      </c>
      <c r="S50" s="71">
        <f>R50+E47</f>
        <v>3939.6000000000004</v>
      </c>
      <c r="T50" s="71">
        <f>S50+E47</f>
        <v>4333.5600000000004</v>
      </c>
      <c r="U50" s="71">
        <f>T50+E47</f>
        <v>4727.5200000000004</v>
      </c>
    </row>
    <row r="51" spans="1:21" s="4" customFormat="1" ht="15.75" thickTop="1" x14ac:dyDescent="0.25">
      <c r="A51" s="1" t="s">
        <v>89</v>
      </c>
      <c r="B51">
        <v>12</v>
      </c>
      <c r="C51"/>
      <c r="D51" s="36"/>
      <c r="E51" s="36"/>
      <c r="F51" s="36"/>
      <c r="G51" s="36"/>
      <c r="H51" s="36"/>
      <c r="J51"/>
      <c r="K51"/>
      <c r="L51"/>
      <c r="M51"/>
      <c r="N51"/>
      <c r="O51"/>
      <c r="P51" s="36"/>
      <c r="R51"/>
      <c r="S51"/>
      <c r="T51"/>
      <c r="U51"/>
    </row>
    <row r="52" spans="1:21" x14ac:dyDescent="0.25">
      <c r="A52" s="4"/>
      <c r="B52" s="4"/>
      <c r="C52" s="4"/>
      <c r="J52" s="4"/>
      <c r="K52" s="4"/>
      <c r="L52" s="4"/>
      <c r="M52" s="4"/>
      <c r="N52" s="4"/>
      <c r="O52" s="4"/>
      <c r="P52" s="36"/>
      <c r="Q52" s="4"/>
      <c r="R52" s="4"/>
      <c r="S52" s="4"/>
      <c r="T52" s="4"/>
      <c r="U52" s="4"/>
    </row>
    <row r="53" spans="1:21" x14ac:dyDescent="0.25">
      <c r="A53" s="1" t="s">
        <v>40</v>
      </c>
      <c r="B53" s="1" t="s">
        <v>39</v>
      </c>
      <c r="C53" s="1" t="s">
        <v>46</v>
      </c>
      <c r="Q53" s="4"/>
    </row>
    <row r="54" spans="1:21" x14ac:dyDescent="0.25">
      <c r="A54" s="13" t="s">
        <v>17</v>
      </c>
      <c r="B54" s="29">
        <f>SUM(E2:E3)</f>
        <v>2100</v>
      </c>
      <c r="C54" s="8">
        <f>B54/B54</f>
        <v>1</v>
      </c>
      <c r="Q54" s="4"/>
    </row>
    <row r="55" spans="1:21" x14ac:dyDescent="0.25">
      <c r="A55" s="15" t="s">
        <v>35</v>
      </c>
      <c r="B55" s="30">
        <f>SUM(E4:E8)</f>
        <v>320.01</v>
      </c>
      <c r="C55" s="9">
        <f>B55/B54</f>
        <v>0.15238571428571429</v>
      </c>
      <c r="Q55" s="4"/>
    </row>
    <row r="56" spans="1:21" x14ac:dyDescent="0.25">
      <c r="A56" s="16" t="s">
        <v>16</v>
      </c>
      <c r="B56" s="40">
        <f>SUM(E9:E13)</f>
        <v>356</v>
      </c>
      <c r="C56" s="72">
        <f>B56/B54</f>
        <v>0.16952380952380952</v>
      </c>
      <c r="Q56" s="4"/>
    </row>
    <row r="57" spans="1:21" x14ac:dyDescent="0.25">
      <c r="A57" s="20" t="s">
        <v>34</v>
      </c>
      <c r="B57" s="32">
        <f>SUM(E14:E26)</f>
        <v>475</v>
      </c>
      <c r="C57" s="10">
        <f>B57/B54</f>
        <v>0.22619047619047619</v>
      </c>
      <c r="Q57" s="4"/>
    </row>
    <row r="58" spans="1:21" x14ac:dyDescent="0.25">
      <c r="A58" s="21" t="s">
        <v>92</v>
      </c>
      <c r="B58" s="33">
        <f>SUM(E27:E31)</f>
        <v>130.03</v>
      </c>
      <c r="C58" s="11">
        <f>B58/B54</f>
        <v>6.1919047619047617E-2</v>
      </c>
      <c r="Q58" s="4"/>
    </row>
    <row r="59" spans="1:21" x14ac:dyDescent="0.25">
      <c r="A59" s="23" t="s">
        <v>45</v>
      </c>
      <c r="B59" s="43">
        <f>SUM(E32:E34)</f>
        <v>180</v>
      </c>
      <c r="C59" s="73">
        <f>B59/B54</f>
        <v>8.5714285714285715E-2</v>
      </c>
      <c r="Q59" s="4"/>
    </row>
    <row r="60" spans="1:21" x14ac:dyDescent="0.25">
      <c r="A60" s="6" t="s">
        <v>54</v>
      </c>
      <c r="B60" s="35">
        <f>SUM(E35:E37)</f>
        <v>245</v>
      </c>
      <c r="C60" s="64">
        <f>B60/B54</f>
        <v>0.11666666666666667</v>
      </c>
      <c r="Q60" s="4"/>
    </row>
    <row r="61" spans="1:21" x14ac:dyDescent="0.25">
      <c r="A61" s="74" t="s">
        <v>67</v>
      </c>
      <c r="B61" s="75">
        <f>B54-SUM(B55:B60)</f>
        <v>393.96000000000004</v>
      </c>
      <c r="C61" s="76">
        <f>Tabelle12[[#This Row],[Budget]]/B54</f>
        <v>0.18760000000000002</v>
      </c>
      <c r="Q61" s="4"/>
    </row>
    <row r="62" spans="1:21" x14ac:dyDescent="0.25">
      <c r="Q62" s="4"/>
    </row>
    <row r="63" spans="1:21" x14ac:dyDescent="0.25">
      <c r="Q63" s="4"/>
    </row>
    <row r="64" spans="1:21" x14ac:dyDescent="0.25">
      <c r="Q64" s="4"/>
    </row>
    <row r="65" spans="17:17" x14ac:dyDescent="0.25">
      <c r="Q65" s="4"/>
    </row>
    <row r="66" spans="17:17" x14ac:dyDescent="0.25">
      <c r="Q66" s="4"/>
    </row>
    <row r="67" spans="17:17" x14ac:dyDescent="0.25">
      <c r="Q67" s="4"/>
    </row>
    <row r="68" spans="17:17" x14ac:dyDescent="0.25">
      <c r="Q68" s="4"/>
    </row>
    <row r="69" spans="17:17" x14ac:dyDescent="0.25">
      <c r="Q69" s="4"/>
    </row>
  </sheetData>
  <phoneticPr fontId="3" type="noConversion"/>
  <conditionalFormatting sqref="G2:G47">
    <cfRule type="cellIs" dxfId="37" priority="1" operator="greaterThan">
      <formula>0.75</formula>
    </cfRule>
    <cfRule type="cellIs" dxfId="36" priority="2" operator="between">
      <formula>0.501</formula>
      <formula>0.75</formula>
    </cfRule>
    <cfRule type="cellIs" dxfId="35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P2:U37" calculatedColumn="1"/>
  </ignoredErrors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L93"/>
  <sheetViews>
    <sheetView tabSelected="1" zoomScale="80" zoomScaleNormal="100" workbookViewId="0">
      <selection activeCell="K5" sqref="K5"/>
    </sheetView>
  </sheetViews>
  <sheetFormatPr defaultColWidth="11.5703125" defaultRowHeight="15" x14ac:dyDescent="0.25"/>
  <cols>
    <col min="1" max="1" width="11.5703125" style="4"/>
    <col min="2" max="2" width="19.140625" style="4" customWidth="1"/>
    <col min="3" max="3" width="11.5703125" style="3"/>
    <col min="4" max="4" width="16.42578125" style="4" bestFit="1" customWidth="1"/>
    <col min="5" max="5" width="11.5703125" style="4"/>
    <col min="6" max="6" width="13.5703125" style="3" bestFit="1" customWidth="1"/>
    <col min="7" max="7" width="19.7109375" style="4" bestFit="1" customWidth="1"/>
    <col min="8" max="8" width="11.5703125" style="3"/>
    <col min="9" max="9" width="11.5703125" style="4"/>
    <col min="10" max="10" width="20" style="4" bestFit="1" customWidth="1"/>
    <col min="11" max="11" width="13.5703125" style="4" customWidth="1"/>
    <col min="12" max="13" width="12.7109375" style="4" bestFit="1" customWidth="1"/>
    <col min="14" max="16384" width="11.5703125" style="4"/>
  </cols>
  <sheetData>
    <row r="1" spans="1:12" x14ac:dyDescent="0.25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25">
      <c r="A2" s="67">
        <v>43466</v>
      </c>
      <c r="B2" s="1" t="s">
        <v>10</v>
      </c>
      <c r="C2" s="62">
        <v>2000</v>
      </c>
      <c r="D2" s="1"/>
      <c r="H2" s="4"/>
    </row>
    <row r="3" spans="1:12" x14ac:dyDescent="0.25">
      <c r="A3" s="67">
        <v>43498</v>
      </c>
      <c r="B3" s="1" t="s">
        <v>55</v>
      </c>
      <c r="C3" s="62">
        <v>200</v>
      </c>
      <c r="D3" s="1"/>
      <c r="F3" s="4"/>
      <c r="H3" s="4"/>
    </row>
    <row r="4" spans="1:12" x14ac:dyDescent="0.25">
      <c r="A4" s="68"/>
      <c r="B4" s="1" t="s">
        <v>3</v>
      </c>
      <c r="C4" s="36">
        <v>300</v>
      </c>
      <c r="D4" s="1"/>
      <c r="F4" s="4"/>
      <c r="H4" s="4"/>
    </row>
    <row r="5" spans="1:12" x14ac:dyDescent="0.25">
      <c r="A5" s="67"/>
      <c r="B5" s="1"/>
      <c r="C5" s="36"/>
      <c r="F5" s="4"/>
      <c r="G5" s="1" t="s">
        <v>83</v>
      </c>
      <c r="H5" s="1" t="s">
        <v>85</v>
      </c>
      <c r="J5" s="1" t="s">
        <v>84</v>
      </c>
      <c r="K5" s="1" t="s">
        <v>86</v>
      </c>
    </row>
    <row r="6" spans="1:12" x14ac:dyDescent="0.25">
      <c r="A6" s="67"/>
      <c r="B6" s="1"/>
      <c r="C6" s="36"/>
      <c r="D6" s="1"/>
      <c r="F6" s="4"/>
      <c r="H6" s="4"/>
    </row>
    <row r="7" spans="1:12" x14ac:dyDescent="0.25">
      <c r="A7" s="67"/>
      <c r="B7" s="1"/>
      <c r="C7" s="36"/>
      <c r="D7" s="1"/>
      <c r="F7" s="4"/>
      <c r="H7" s="4"/>
    </row>
    <row r="8" spans="1:12" x14ac:dyDescent="0.25">
      <c r="A8" s="67"/>
      <c r="B8" s="1"/>
      <c r="C8" s="36"/>
      <c r="D8" s="1"/>
      <c r="F8" s="4"/>
      <c r="H8" s="4"/>
    </row>
    <row r="9" spans="1:12" x14ac:dyDescent="0.25">
      <c r="A9" s="67"/>
      <c r="B9" s="1"/>
      <c r="C9" s="62"/>
      <c r="D9" s="1"/>
      <c r="F9" s="4"/>
      <c r="H9" s="4"/>
    </row>
    <row r="10" spans="1:12" x14ac:dyDescent="0.25">
      <c r="A10" s="67"/>
      <c r="B10" s="1"/>
      <c r="C10" s="36"/>
      <c r="D10" s="1"/>
      <c r="F10" s="4"/>
      <c r="H10" s="4"/>
    </row>
    <row r="11" spans="1:12" x14ac:dyDescent="0.25">
      <c r="A11" s="67"/>
      <c r="B11" s="1"/>
      <c r="C11" s="36"/>
      <c r="D11" s="1"/>
      <c r="F11" s="4"/>
      <c r="H11" s="4"/>
    </row>
    <row r="12" spans="1:12" x14ac:dyDescent="0.25">
      <c r="A12" s="67"/>
      <c r="B12" s="1"/>
      <c r="C12" s="36"/>
      <c r="D12" s="1"/>
      <c r="F12" s="4"/>
      <c r="H12" s="4"/>
    </row>
    <row r="13" spans="1:12" x14ac:dyDescent="0.25">
      <c r="A13" s="67"/>
      <c r="B13" s="1"/>
      <c r="C13" s="36"/>
      <c r="D13" s="1"/>
      <c r="F13" s="4"/>
      <c r="H13" s="4"/>
    </row>
    <row r="14" spans="1:12" x14ac:dyDescent="0.25">
      <c r="A14" s="67"/>
      <c r="B14" s="1"/>
      <c r="C14" s="36"/>
      <c r="D14" s="1"/>
      <c r="F14" s="4"/>
      <c r="H14" s="4"/>
    </row>
    <row r="15" spans="1:12" x14ac:dyDescent="0.25">
      <c r="A15" s="67"/>
      <c r="B15" s="1"/>
      <c r="C15" s="36"/>
      <c r="D15" s="1"/>
      <c r="F15" s="4"/>
      <c r="H15" s="4"/>
    </row>
    <row r="16" spans="1:12" x14ac:dyDescent="0.25">
      <c r="A16" s="67"/>
      <c r="B16" s="1"/>
      <c r="C16" s="36"/>
      <c r="D16" s="1"/>
      <c r="F16" s="4"/>
      <c r="H16" s="4"/>
    </row>
    <row r="17" spans="1:8" x14ac:dyDescent="0.25">
      <c r="A17" s="67"/>
      <c r="B17" s="1"/>
      <c r="C17" s="36"/>
      <c r="D17" s="1"/>
      <c r="F17" s="4"/>
      <c r="H17" s="4"/>
    </row>
    <row r="18" spans="1:8" x14ac:dyDescent="0.25">
      <c r="A18" s="67"/>
      <c r="B18" s="1"/>
      <c r="C18" s="62"/>
      <c r="D18" s="1"/>
      <c r="F18" s="4"/>
      <c r="H18" s="4"/>
    </row>
    <row r="19" spans="1:8" x14ac:dyDescent="0.25">
      <c r="A19" s="67"/>
      <c r="B19" s="1"/>
      <c r="C19" s="36"/>
      <c r="D19" s="1"/>
      <c r="F19" s="4"/>
      <c r="H19" s="4"/>
    </row>
    <row r="20" spans="1:8" x14ac:dyDescent="0.25">
      <c r="A20" s="67"/>
      <c r="B20" s="1"/>
      <c r="C20" s="36"/>
      <c r="D20" s="1"/>
      <c r="F20" s="4"/>
      <c r="H20" s="4"/>
    </row>
    <row r="21" spans="1:8" x14ac:dyDescent="0.25">
      <c r="A21" s="67"/>
      <c r="B21" s="1"/>
      <c r="C21" s="36"/>
      <c r="D21" s="1"/>
      <c r="F21" s="4"/>
      <c r="H21" s="4"/>
    </row>
    <row r="22" spans="1:8" x14ac:dyDescent="0.25">
      <c r="A22" s="67"/>
      <c r="B22" s="1"/>
      <c r="C22" s="36"/>
      <c r="D22" s="1"/>
      <c r="F22" s="4"/>
      <c r="H22" s="4"/>
    </row>
    <row r="23" spans="1:8" x14ac:dyDescent="0.25">
      <c r="A23" s="68"/>
      <c r="B23" s="1"/>
      <c r="C23" s="36"/>
      <c r="D23" s="1"/>
      <c r="F23" s="4"/>
      <c r="H23" s="4"/>
    </row>
    <row r="24" spans="1:8" x14ac:dyDescent="0.25">
      <c r="A24" s="67"/>
      <c r="B24" s="1"/>
      <c r="C24" s="36"/>
      <c r="D24" s="1"/>
      <c r="F24" s="4"/>
      <c r="H24" s="4"/>
    </row>
    <row r="25" spans="1:8" x14ac:dyDescent="0.25">
      <c r="A25" s="67"/>
      <c r="B25" s="1"/>
      <c r="C25" s="36"/>
      <c r="D25" s="1"/>
      <c r="F25" s="4"/>
      <c r="H25" s="4"/>
    </row>
    <row r="26" spans="1:8" x14ac:dyDescent="0.25">
      <c r="A26" s="67"/>
      <c r="B26" s="1"/>
      <c r="C26" s="36"/>
      <c r="D26" s="1"/>
      <c r="F26" s="4"/>
      <c r="H26" s="4"/>
    </row>
    <row r="27" spans="1:8" x14ac:dyDescent="0.25">
      <c r="A27" s="68"/>
      <c r="B27" s="1"/>
      <c r="C27" s="36"/>
      <c r="D27" s="1"/>
      <c r="F27" s="4"/>
      <c r="H27" s="4"/>
    </row>
    <row r="28" spans="1:8" x14ac:dyDescent="0.25">
      <c r="A28" s="68"/>
      <c r="B28" s="1"/>
      <c r="C28" s="36"/>
      <c r="D28" s="1"/>
      <c r="F28" s="4"/>
      <c r="H28" s="4"/>
    </row>
    <row r="29" spans="1:8" x14ac:dyDescent="0.25">
      <c r="A29" s="68"/>
      <c r="B29" s="1"/>
      <c r="C29" s="62"/>
      <c r="D29" s="1"/>
      <c r="F29" s="4"/>
      <c r="H29" s="4"/>
    </row>
    <row r="30" spans="1:8" x14ac:dyDescent="0.25">
      <c r="A30" s="68"/>
      <c r="B30" s="1"/>
      <c r="C30" s="36"/>
      <c r="D30" s="1"/>
      <c r="F30" s="4"/>
      <c r="H30" s="4"/>
    </row>
    <row r="31" spans="1:8" x14ac:dyDescent="0.25">
      <c r="A31" s="68"/>
      <c r="B31" s="1"/>
      <c r="C31" s="36"/>
      <c r="D31" s="1"/>
    </row>
    <row r="32" spans="1:8" x14ac:dyDescent="0.25">
      <c r="A32" s="68"/>
      <c r="B32" s="1"/>
      <c r="C32" s="62"/>
      <c r="D32" s="1"/>
    </row>
    <row r="33" spans="1:4" x14ac:dyDescent="0.25">
      <c r="A33" s="68"/>
      <c r="B33" s="1"/>
      <c r="C33" s="62"/>
      <c r="D33" s="1"/>
    </row>
    <row r="34" spans="1:4" x14ac:dyDescent="0.25">
      <c r="A34" s="68"/>
      <c r="B34" s="1"/>
      <c r="C34" s="62"/>
      <c r="D34" s="1"/>
    </row>
    <row r="35" spans="1:4" x14ac:dyDescent="0.25">
      <c r="A35" s="68"/>
      <c r="B35" s="1"/>
      <c r="C35" s="62"/>
      <c r="D35" s="1"/>
    </row>
    <row r="36" spans="1:4" x14ac:dyDescent="0.25">
      <c r="A36" s="68"/>
      <c r="B36" s="1"/>
      <c r="C36" s="36"/>
      <c r="D36" s="1"/>
    </row>
    <row r="37" spans="1:4" x14ac:dyDescent="0.25">
      <c r="A37" s="68"/>
      <c r="B37" s="1"/>
      <c r="C37" s="36"/>
      <c r="D37" s="1"/>
    </row>
    <row r="38" spans="1:4" x14ac:dyDescent="0.25">
      <c r="A38" s="68"/>
      <c r="B38" s="1"/>
      <c r="C38" s="36"/>
      <c r="D38" s="1"/>
    </row>
    <row r="39" spans="1:4" x14ac:dyDescent="0.25">
      <c r="A39" s="68"/>
      <c r="B39" s="1"/>
      <c r="C39" s="36"/>
      <c r="D39" s="1"/>
    </row>
    <row r="40" spans="1:4" x14ac:dyDescent="0.25">
      <c r="A40" s="68"/>
      <c r="B40" s="1"/>
      <c r="C40" s="36"/>
      <c r="D40" s="1"/>
    </row>
    <row r="41" spans="1:4" x14ac:dyDescent="0.25">
      <c r="A41" s="68"/>
      <c r="B41" s="1"/>
      <c r="C41" s="36"/>
      <c r="D41" s="1"/>
    </row>
    <row r="42" spans="1:4" x14ac:dyDescent="0.25">
      <c r="A42" s="68"/>
      <c r="B42" s="1"/>
      <c r="C42" s="36"/>
      <c r="D42" s="1"/>
    </row>
    <row r="43" spans="1:4" x14ac:dyDescent="0.25">
      <c r="A43" s="68"/>
      <c r="B43" s="1"/>
      <c r="C43" s="36"/>
      <c r="D43" s="1"/>
    </row>
    <row r="44" spans="1:4" x14ac:dyDescent="0.25">
      <c r="A44" s="68"/>
      <c r="B44" s="1"/>
      <c r="C44" s="36"/>
      <c r="D44" s="1"/>
    </row>
    <row r="45" spans="1:4" x14ac:dyDescent="0.25">
      <c r="A45" s="68"/>
      <c r="B45" s="1"/>
      <c r="C45" s="36"/>
      <c r="D45" s="1"/>
    </row>
    <row r="46" spans="1:4" x14ac:dyDescent="0.25">
      <c r="A46" s="68"/>
      <c r="B46" s="1"/>
      <c r="C46" s="36"/>
      <c r="D46" s="1"/>
    </row>
    <row r="47" spans="1:4" x14ac:dyDescent="0.25">
      <c r="A47" s="68"/>
      <c r="B47" s="1"/>
      <c r="C47" s="36"/>
      <c r="D47" s="1"/>
    </row>
    <row r="48" spans="1:4" x14ac:dyDescent="0.25">
      <c r="A48" s="68"/>
      <c r="B48" s="1"/>
      <c r="C48" s="36"/>
      <c r="D48" s="1"/>
    </row>
    <row r="49" spans="1:4" x14ac:dyDescent="0.25">
      <c r="A49" s="68"/>
      <c r="B49" s="1"/>
      <c r="C49" s="36"/>
      <c r="D49" s="1"/>
    </row>
    <row r="50" spans="1:4" x14ac:dyDescent="0.25">
      <c r="A50" s="67"/>
      <c r="B50" s="1"/>
      <c r="C50" s="36"/>
      <c r="D50" s="1"/>
    </row>
    <row r="51" spans="1:4" x14ac:dyDescent="0.25">
      <c r="A51" s="68"/>
      <c r="B51" s="1"/>
      <c r="C51" s="36"/>
      <c r="D51" s="1"/>
    </row>
    <row r="52" spans="1:4" x14ac:dyDescent="0.25">
      <c r="A52" s="68"/>
      <c r="B52" s="1"/>
      <c r="C52" s="36"/>
      <c r="D52" s="1"/>
    </row>
    <row r="53" spans="1:4" x14ac:dyDescent="0.25">
      <c r="A53" s="67"/>
      <c r="B53" s="1"/>
      <c r="C53" s="36"/>
      <c r="D53" s="1"/>
    </row>
    <row r="54" spans="1:4" x14ac:dyDescent="0.25">
      <c r="A54" s="67"/>
      <c r="B54" s="1"/>
      <c r="C54" s="36"/>
      <c r="D54" s="1"/>
    </row>
    <row r="55" spans="1:4" x14ac:dyDescent="0.25">
      <c r="A55" s="67"/>
      <c r="B55" s="1"/>
      <c r="C55" s="36"/>
      <c r="D55" s="1"/>
    </row>
    <row r="56" spans="1:4" x14ac:dyDescent="0.25">
      <c r="A56" s="68"/>
      <c r="B56" s="1"/>
      <c r="C56" s="36"/>
      <c r="D56" s="1"/>
    </row>
    <row r="57" spans="1:4" x14ac:dyDescent="0.25">
      <c r="A57" s="67"/>
      <c r="B57" s="1"/>
      <c r="C57" s="36"/>
      <c r="D57" s="1"/>
    </row>
    <row r="58" spans="1:4" x14ac:dyDescent="0.25">
      <c r="A58" s="68"/>
      <c r="B58" s="1"/>
      <c r="C58" s="36"/>
      <c r="D58" s="1"/>
    </row>
    <row r="59" spans="1:4" x14ac:dyDescent="0.25">
      <c r="A59" s="67"/>
      <c r="B59" s="1"/>
      <c r="C59" s="36"/>
      <c r="D59" s="1"/>
    </row>
    <row r="60" spans="1:4" x14ac:dyDescent="0.25">
      <c r="A60" s="67"/>
      <c r="B60" s="1"/>
      <c r="C60" s="36"/>
      <c r="D60" s="1"/>
    </row>
    <row r="61" spans="1:4" x14ac:dyDescent="0.25">
      <c r="A61" s="67"/>
      <c r="B61" s="1"/>
      <c r="C61" s="36"/>
      <c r="D61" s="1"/>
    </row>
    <row r="62" spans="1:4" x14ac:dyDescent="0.25">
      <c r="A62" s="67"/>
      <c r="B62" s="1"/>
      <c r="C62" s="36"/>
      <c r="D62" s="1"/>
    </row>
    <row r="63" spans="1:4" x14ac:dyDescent="0.25">
      <c r="A63" s="67"/>
      <c r="B63" s="1"/>
      <c r="C63" s="62"/>
      <c r="D63" s="1"/>
    </row>
    <row r="64" spans="1:4" x14ac:dyDescent="0.25">
      <c r="A64" s="67"/>
      <c r="B64" s="1"/>
      <c r="C64" s="36"/>
      <c r="D64" s="1"/>
    </row>
    <row r="65" spans="1:4" x14ac:dyDescent="0.25">
      <c r="A65" s="67"/>
      <c r="C65" s="36"/>
      <c r="D65" s="1"/>
    </row>
    <row r="66" spans="1:4" x14ac:dyDescent="0.25">
      <c r="A66" s="67"/>
      <c r="B66" s="1"/>
      <c r="C66" s="36"/>
      <c r="D66" s="1"/>
    </row>
    <row r="67" spans="1:4" x14ac:dyDescent="0.25">
      <c r="A67" s="68"/>
      <c r="C67" s="36"/>
      <c r="D67" s="1"/>
    </row>
    <row r="68" spans="1:4" x14ac:dyDescent="0.25">
      <c r="A68" s="68"/>
      <c r="B68" s="1"/>
      <c r="C68" s="36"/>
      <c r="D68" s="1"/>
    </row>
    <row r="69" spans="1:4" x14ac:dyDescent="0.25">
      <c r="A69" s="67"/>
      <c r="B69" s="1"/>
      <c r="C69" s="36"/>
      <c r="D69" s="1"/>
    </row>
    <row r="70" spans="1:4" x14ac:dyDescent="0.25">
      <c r="A70" s="67"/>
      <c r="C70" s="36"/>
      <c r="D70" s="1"/>
    </row>
    <row r="71" spans="1:4" x14ac:dyDescent="0.25">
      <c r="A71" s="67"/>
      <c r="B71" s="1"/>
      <c r="C71" s="36"/>
      <c r="D71" s="1"/>
    </row>
    <row r="72" spans="1:4" x14ac:dyDescent="0.25">
      <c r="A72" s="67"/>
      <c r="B72" s="1"/>
      <c r="C72" s="36"/>
      <c r="D72" s="1"/>
    </row>
    <row r="73" spans="1:4" x14ac:dyDescent="0.25">
      <c r="A73" s="68"/>
      <c r="C73" s="36"/>
      <c r="D73" s="1"/>
    </row>
    <row r="74" spans="1:4" x14ac:dyDescent="0.25">
      <c r="A74" s="7"/>
      <c r="D74" s="1"/>
    </row>
    <row r="75" spans="1:4" x14ac:dyDescent="0.25">
      <c r="A75" s="7"/>
      <c r="B75" s="1"/>
      <c r="D75" s="1"/>
    </row>
    <row r="76" spans="1:4" x14ac:dyDescent="0.25">
      <c r="A76" s="7"/>
      <c r="B76" s="1"/>
      <c r="D76" s="1"/>
    </row>
    <row r="77" spans="1:4" x14ac:dyDescent="0.25">
      <c r="A77" s="7"/>
      <c r="B77" s="1"/>
      <c r="D77" s="1"/>
    </row>
    <row r="78" spans="1:4" x14ac:dyDescent="0.25">
      <c r="A78" s="7"/>
      <c r="B78" s="1"/>
      <c r="D78" s="1"/>
    </row>
    <row r="79" spans="1:4" x14ac:dyDescent="0.25">
      <c r="A79" s="7"/>
      <c r="B79" s="1"/>
      <c r="D79" s="1"/>
    </row>
    <row r="80" spans="1:4" x14ac:dyDescent="0.25">
      <c r="A80" s="7"/>
      <c r="B80" s="1"/>
      <c r="D80" s="1"/>
    </row>
    <row r="81" spans="1:4" x14ac:dyDescent="0.25">
      <c r="A81" s="7"/>
      <c r="D81" s="1"/>
    </row>
    <row r="82" spans="1:4" x14ac:dyDescent="0.25">
      <c r="A82" s="7"/>
      <c r="B82" s="1"/>
      <c r="D82" s="1"/>
    </row>
    <row r="83" spans="1:4" x14ac:dyDescent="0.25">
      <c r="A83" s="7"/>
      <c r="D83" s="1"/>
    </row>
    <row r="84" spans="1:4" x14ac:dyDescent="0.25">
      <c r="A84" s="7"/>
      <c r="D84" s="1"/>
    </row>
    <row r="85" spans="1:4" x14ac:dyDescent="0.25">
      <c r="A85" s="7"/>
      <c r="D85" s="1"/>
    </row>
    <row r="86" spans="1:4" x14ac:dyDescent="0.25">
      <c r="A86" s="7"/>
      <c r="D86" s="1"/>
    </row>
    <row r="87" spans="1:4" x14ac:dyDescent="0.25">
      <c r="A87" s="7"/>
      <c r="D87" s="1"/>
    </row>
    <row r="88" spans="1:4" x14ac:dyDescent="0.25">
      <c r="A88" s="7"/>
      <c r="D88" s="1"/>
    </row>
    <row r="89" spans="1:4" x14ac:dyDescent="0.25">
      <c r="A89" s="7"/>
      <c r="D89" s="1"/>
    </row>
    <row r="90" spans="1:4" x14ac:dyDescent="0.25">
      <c r="A90" s="7"/>
      <c r="D90" s="1"/>
    </row>
    <row r="91" spans="1:4" x14ac:dyDescent="0.25">
      <c r="A91" s="7"/>
      <c r="D91" s="1"/>
    </row>
    <row r="92" spans="1:4" x14ac:dyDescent="0.25">
      <c r="A92" s="7"/>
      <c r="D92" s="1"/>
    </row>
    <row r="93" spans="1:4" x14ac:dyDescent="0.25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9525</xdr:colOff>
                    <xdr:row>1</xdr:row>
                    <xdr:rowOff>9525</xdr:rowOff>
                  </from>
                  <to>
                    <xdr:col>8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9525</xdr:colOff>
                    <xdr:row>0</xdr:row>
                    <xdr:rowOff>180975</xdr:rowOff>
                  </from>
                  <to>
                    <xdr:col>10</xdr:col>
                    <xdr:colOff>495300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Annual!$C$2:$C$37</xm:f>
          </x14:formula1>
          <xm:sqref>B2:B57</xm:sqref>
        </x14:dataValidation>
        <x14:dataValidation type="list" allowBlank="1" showInputMessage="1" showErrorMessage="1">
          <x14:formula1>
            <xm:f>Annual!$C$2:$C$36</xm:f>
          </x14:formula1>
          <xm:sqref>B1 B58:B1048576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V47"/>
  <sheetViews>
    <sheetView zoomScale="80" zoomScaleNormal="80" workbookViewId="0"/>
  </sheetViews>
  <sheetFormatPr defaultColWidth="11.5703125" defaultRowHeight="15" x14ac:dyDescent="0.25"/>
  <cols>
    <col min="1" max="1" width="18.85546875" style="4" bestFit="1" customWidth="1"/>
    <col min="2" max="2" width="17.140625" style="4" bestFit="1" customWidth="1"/>
    <col min="3" max="3" width="23.140625" style="4" bestFit="1" customWidth="1"/>
    <col min="4" max="4" width="13.42578125" style="4" bestFit="1" customWidth="1"/>
    <col min="5" max="5" width="18.42578125" style="4" bestFit="1" customWidth="1"/>
    <col min="6" max="6" width="16.28515625" style="4" customWidth="1"/>
    <col min="7" max="7" width="11.5703125" style="63"/>
    <col min="8" max="16384" width="11.5703125" style="4"/>
  </cols>
  <sheetData>
    <row r="1" spans="1:22" x14ac:dyDescent="0.25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58</v>
      </c>
      <c r="F1" s="45" t="s">
        <v>1</v>
      </c>
      <c r="H1" s="69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</row>
    <row r="2" spans="1:22" x14ac:dyDescent="0.25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H2" s="69"/>
      <c r="I2" s="69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</row>
    <row r="3" spans="1:22" x14ac:dyDescent="0.25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H3" s="69"/>
      <c r="I3" s="69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</row>
    <row r="4" spans="1:22" x14ac:dyDescent="0.25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H4" s="69"/>
      <c r="I4" s="69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</row>
    <row r="5" spans="1:22" x14ac:dyDescent="0.25">
      <c r="A5" s="50"/>
      <c r="B5" s="51"/>
      <c r="C5" s="51" t="s">
        <v>6</v>
      </c>
      <c r="D5" s="39">
        <v>0</v>
      </c>
      <c r="E5" s="39">
        <v>100</v>
      </c>
      <c r="F5" s="39">
        <v>100</v>
      </c>
      <c r="H5" s="69"/>
      <c r="I5" s="69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</row>
    <row r="6" spans="1:22" x14ac:dyDescent="0.25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H6" s="69"/>
      <c r="I6" s="69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</row>
    <row r="7" spans="1:22" x14ac:dyDescent="0.25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H7" s="69"/>
      <c r="I7" s="69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</row>
    <row r="8" spans="1:22" x14ac:dyDescent="0.25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H8" s="69"/>
      <c r="I8" s="69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</row>
    <row r="9" spans="1:22" x14ac:dyDescent="0.25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H9" s="69"/>
      <c r="I9" s="69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</row>
    <row r="10" spans="1:22" x14ac:dyDescent="0.25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H10" s="69"/>
      <c r="I10" s="69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</row>
    <row r="11" spans="1:22" x14ac:dyDescent="0.25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H11" s="69"/>
      <c r="I11" s="69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</row>
    <row r="12" spans="1:22" x14ac:dyDescent="0.25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H12" s="69"/>
      <c r="I12" s="69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</row>
    <row r="13" spans="1:22" x14ac:dyDescent="0.25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H13" s="69"/>
      <c r="I13" s="69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</row>
    <row r="14" spans="1:22" x14ac:dyDescent="0.25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H14" s="69"/>
      <c r="I14" s="69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</row>
    <row r="15" spans="1:22" x14ac:dyDescent="0.25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H15" s="69"/>
      <c r="I15" s="69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</row>
    <row r="16" spans="1:22" x14ac:dyDescent="0.25">
      <c r="A16" s="52"/>
      <c r="B16" s="54"/>
      <c r="C16" s="54" t="s">
        <v>52</v>
      </c>
      <c r="D16" s="41">
        <v>0</v>
      </c>
      <c r="E16" s="41">
        <v>10</v>
      </c>
      <c r="F16" s="41">
        <v>10</v>
      </c>
      <c r="H16" s="69"/>
      <c r="I16" s="69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</row>
    <row r="17" spans="1:22" x14ac:dyDescent="0.25">
      <c r="A17" s="50"/>
      <c r="B17" s="54"/>
      <c r="C17" s="54" t="s">
        <v>9</v>
      </c>
      <c r="D17" s="41">
        <v>0</v>
      </c>
      <c r="E17" s="41">
        <v>30</v>
      </c>
      <c r="F17" s="41">
        <v>30</v>
      </c>
      <c r="H17" s="69"/>
      <c r="I17" s="69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</row>
    <row r="18" spans="1:22" x14ac:dyDescent="0.25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H18" s="69"/>
      <c r="I18" s="69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</row>
    <row r="19" spans="1:22" x14ac:dyDescent="0.25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H19" s="69"/>
      <c r="I19" s="69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</row>
    <row r="20" spans="1:22" x14ac:dyDescent="0.25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H20" s="69"/>
      <c r="I20" s="69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</row>
    <row r="21" spans="1:22" x14ac:dyDescent="0.25">
      <c r="A21" s="50"/>
      <c r="B21" s="54"/>
      <c r="C21" s="54" t="s">
        <v>57</v>
      </c>
      <c r="D21" s="41">
        <v>0</v>
      </c>
      <c r="E21" s="41">
        <v>5</v>
      </c>
      <c r="F21" s="41">
        <v>5</v>
      </c>
      <c r="H21" s="69"/>
      <c r="I21" s="69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</row>
    <row r="22" spans="1:22" x14ac:dyDescent="0.25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H22" s="69"/>
      <c r="I22" s="69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</row>
    <row r="23" spans="1:22" x14ac:dyDescent="0.25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H23" s="69"/>
      <c r="I23" s="69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</row>
    <row r="24" spans="1:22" x14ac:dyDescent="0.25">
      <c r="A24" s="52"/>
      <c r="B24" s="54"/>
      <c r="C24" s="54" t="s">
        <v>88</v>
      </c>
      <c r="D24" s="41">
        <v>0</v>
      </c>
      <c r="E24" s="41">
        <v>30</v>
      </c>
      <c r="F24" s="41">
        <v>30</v>
      </c>
      <c r="H24" s="69"/>
      <c r="I24" s="69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</row>
    <row r="25" spans="1:22" x14ac:dyDescent="0.25">
      <c r="A25" s="50"/>
      <c r="B25" s="54"/>
      <c r="C25" s="54" t="s">
        <v>78</v>
      </c>
      <c r="D25" s="41">
        <v>0</v>
      </c>
      <c r="E25" s="41">
        <v>10</v>
      </c>
      <c r="F25" s="41">
        <v>10</v>
      </c>
      <c r="H25" s="69"/>
      <c r="I25" s="69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</row>
    <row r="26" spans="1:22" x14ac:dyDescent="0.25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H26" s="69"/>
      <c r="I26" s="69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</row>
    <row r="27" spans="1:22" x14ac:dyDescent="0.25">
      <c r="A27" s="50"/>
      <c r="B27" s="55" t="s">
        <v>92</v>
      </c>
      <c r="C27" s="55" t="s">
        <v>13</v>
      </c>
      <c r="D27" s="42">
        <v>0</v>
      </c>
      <c r="E27" s="42">
        <v>0.01</v>
      </c>
      <c r="F27" s="42">
        <v>0.01</v>
      </c>
      <c r="H27" s="69"/>
      <c r="I27" s="69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</row>
    <row r="28" spans="1:22" x14ac:dyDescent="0.25">
      <c r="A28" s="52"/>
      <c r="B28" s="55"/>
      <c r="C28" s="55" t="s">
        <v>23</v>
      </c>
      <c r="D28" s="42">
        <v>0</v>
      </c>
      <c r="E28" s="42">
        <v>0.01</v>
      </c>
      <c r="F28" s="42">
        <v>0.01</v>
      </c>
      <c r="H28" s="69"/>
      <c r="I28" s="69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</row>
    <row r="29" spans="1:22" x14ac:dyDescent="0.25">
      <c r="A29" s="50"/>
      <c r="B29" s="55"/>
      <c r="C29" s="55" t="s">
        <v>51</v>
      </c>
      <c r="D29" s="42">
        <v>0</v>
      </c>
      <c r="E29" s="42">
        <v>100</v>
      </c>
      <c r="F29" s="42">
        <v>100</v>
      </c>
      <c r="H29" s="69"/>
      <c r="I29" s="69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</row>
    <row r="30" spans="1:22" x14ac:dyDescent="0.25">
      <c r="A30" s="52"/>
      <c r="B30" s="55"/>
      <c r="C30" s="55" t="s">
        <v>25</v>
      </c>
      <c r="D30" s="42">
        <v>0</v>
      </c>
      <c r="E30" s="42">
        <v>0.01</v>
      </c>
      <c r="F30" s="42">
        <v>0.01</v>
      </c>
      <c r="H30" s="69"/>
      <c r="I30" s="69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</row>
    <row r="31" spans="1:22" x14ac:dyDescent="0.25">
      <c r="A31" s="50"/>
      <c r="B31" s="55"/>
      <c r="C31" s="55" t="s">
        <v>33</v>
      </c>
      <c r="D31" s="42">
        <v>0</v>
      </c>
      <c r="E31" s="42">
        <v>30</v>
      </c>
      <c r="F31" s="42">
        <v>30</v>
      </c>
      <c r="H31" s="69"/>
      <c r="I31" s="69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</row>
    <row r="32" spans="1:22" x14ac:dyDescent="0.25">
      <c r="A32" s="52"/>
      <c r="B32" s="56" t="s">
        <v>45</v>
      </c>
      <c r="C32" s="56" t="s">
        <v>37</v>
      </c>
      <c r="D32" s="43">
        <v>0</v>
      </c>
      <c r="E32" s="43">
        <v>100</v>
      </c>
      <c r="F32" s="43">
        <v>100</v>
      </c>
      <c r="H32" s="69"/>
      <c r="I32" s="69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</row>
    <row r="33" spans="1:22" x14ac:dyDescent="0.25">
      <c r="A33" s="50"/>
      <c r="B33" s="56"/>
      <c r="C33" s="56" t="s">
        <v>47</v>
      </c>
      <c r="D33" s="43">
        <v>0</v>
      </c>
      <c r="E33" s="43">
        <v>30</v>
      </c>
      <c r="F33" s="43">
        <v>30</v>
      </c>
      <c r="H33" s="69"/>
      <c r="I33" s="69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</row>
    <row r="34" spans="1:22" x14ac:dyDescent="0.25">
      <c r="A34" s="52"/>
      <c r="B34" s="56"/>
      <c r="C34" s="56" t="s">
        <v>7</v>
      </c>
      <c r="D34" s="43">
        <v>0</v>
      </c>
      <c r="E34" s="43">
        <v>50</v>
      </c>
      <c r="F34" s="43">
        <v>50</v>
      </c>
      <c r="H34" s="69"/>
      <c r="I34" s="69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</row>
    <row r="35" spans="1:22" x14ac:dyDescent="0.25">
      <c r="A35" s="66"/>
      <c r="B35" s="57" t="s">
        <v>54</v>
      </c>
      <c r="C35" s="57" t="s">
        <v>55</v>
      </c>
      <c r="D35" s="58">
        <v>200</v>
      </c>
      <c r="E35" s="44">
        <v>200</v>
      </c>
      <c r="F35" s="44">
        <v>0</v>
      </c>
      <c r="H35" s="69"/>
      <c r="I35" s="69"/>
    </row>
    <row r="36" spans="1:22" x14ac:dyDescent="0.25">
      <c r="A36" s="47"/>
      <c r="B36" s="57"/>
      <c r="C36" s="57" t="s">
        <v>56</v>
      </c>
      <c r="D36" s="58">
        <v>0</v>
      </c>
      <c r="E36" s="44">
        <v>30</v>
      </c>
      <c r="F36" s="44">
        <v>30</v>
      </c>
      <c r="H36" s="63"/>
    </row>
    <row r="37" spans="1:22" x14ac:dyDescent="0.25">
      <c r="A37" s="50"/>
      <c r="B37" s="60"/>
      <c r="C37" s="60" t="s">
        <v>66</v>
      </c>
      <c r="D37" s="61">
        <v>0</v>
      </c>
      <c r="E37" s="46">
        <v>15</v>
      </c>
      <c r="F37" s="46">
        <v>15</v>
      </c>
      <c r="H37" s="63"/>
    </row>
    <row r="38" spans="1:22" x14ac:dyDescent="0.25">
      <c r="A38" s="63"/>
      <c r="B38" s="63"/>
      <c r="C38" s="63"/>
      <c r="D38" s="63"/>
      <c r="E38" s="63"/>
      <c r="F38" s="63"/>
    </row>
    <row r="39" spans="1:22" x14ac:dyDescent="0.25">
      <c r="A39" s="63" t="s">
        <v>40</v>
      </c>
      <c r="B39" s="63" t="s">
        <v>2</v>
      </c>
      <c r="C39" s="63" t="s">
        <v>39</v>
      </c>
      <c r="D39" s="63" t="s">
        <v>1</v>
      </c>
      <c r="E39" s="63" t="s">
        <v>44</v>
      </c>
      <c r="F39" s="63" t="s">
        <v>46</v>
      </c>
    </row>
    <row r="40" spans="1:22" x14ac:dyDescent="0.25">
      <c r="A40" s="63" t="s">
        <v>17</v>
      </c>
      <c r="B40" s="69">
        <v>2000</v>
      </c>
      <c r="C40" s="69">
        <v>2100</v>
      </c>
      <c r="D40" s="69">
        <v>100</v>
      </c>
      <c r="E40" s="63">
        <v>4</v>
      </c>
      <c r="F40" s="63">
        <v>1</v>
      </c>
    </row>
    <row r="41" spans="1:22" x14ac:dyDescent="0.25">
      <c r="A41" s="4" t="s">
        <v>35</v>
      </c>
      <c r="B41" s="69">
        <v>0</v>
      </c>
      <c r="C41" s="69">
        <v>320.01</v>
      </c>
      <c r="D41" s="69">
        <v>320.01</v>
      </c>
      <c r="E41" s="63">
        <v>0</v>
      </c>
      <c r="F41" s="63">
        <v>0.15238571428571429</v>
      </c>
    </row>
    <row r="42" spans="1:22" x14ac:dyDescent="0.25">
      <c r="A42" s="4" t="s">
        <v>16</v>
      </c>
      <c r="B42" s="69">
        <v>300</v>
      </c>
      <c r="C42" s="69">
        <v>356</v>
      </c>
      <c r="D42" s="69">
        <v>56</v>
      </c>
      <c r="E42" s="63">
        <v>0.6</v>
      </c>
      <c r="F42" s="63">
        <v>0.16952380952380952</v>
      </c>
    </row>
    <row r="43" spans="1:22" x14ac:dyDescent="0.25">
      <c r="A43" s="4" t="s">
        <v>34</v>
      </c>
      <c r="B43" s="69">
        <v>0</v>
      </c>
      <c r="C43" s="69">
        <v>475</v>
      </c>
      <c r="D43" s="69">
        <v>475</v>
      </c>
      <c r="E43" s="63">
        <v>0</v>
      </c>
      <c r="F43" s="63">
        <v>0.22619047619047619</v>
      </c>
    </row>
    <row r="44" spans="1:22" x14ac:dyDescent="0.25">
      <c r="A44" s="4" t="s">
        <v>92</v>
      </c>
      <c r="B44" s="69">
        <v>0</v>
      </c>
      <c r="C44" s="69">
        <v>130.03</v>
      </c>
      <c r="D44" s="69">
        <v>130.03</v>
      </c>
      <c r="E44" s="63">
        <v>0</v>
      </c>
      <c r="F44" s="63">
        <v>6.1919047619047617E-2</v>
      </c>
    </row>
    <row r="45" spans="1:22" x14ac:dyDescent="0.25">
      <c r="A45" s="4" t="s">
        <v>45</v>
      </c>
      <c r="B45" s="69">
        <v>0</v>
      </c>
      <c r="C45" s="69">
        <v>180</v>
      </c>
      <c r="D45" s="69">
        <v>180</v>
      </c>
      <c r="E45" s="63">
        <v>0</v>
      </c>
      <c r="F45" s="63">
        <v>8.5714285714285715E-2</v>
      </c>
    </row>
    <row r="46" spans="1:22" x14ac:dyDescent="0.25">
      <c r="A46" s="4" t="s">
        <v>54</v>
      </c>
      <c r="B46" s="69">
        <v>200</v>
      </c>
      <c r="C46" s="69">
        <v>245</v>
      </c>
      <c r="D46" s="69">
        <v>45</v>
      </c>
      <c r="E46" s="63">
        <v>0.4</v>
      </c>
      <c r="F46" s="63">
        <v>0.11666666666666667</v>
      </c>
    </row>
    <row r="47" spans="1:22" x14ac:dyDescent="0.25">
      <c r="A47" s="4" t="s">
        <v>48</v>
      </c>
      <c r="B47" s="69">
        <v>1500</v>
      </c>
      <c r="C47" s="69">
        <v>393.96000000000004</v>
      </c>
      <c r="D47" s="69">
        <v>1106.04</v>
      </c>
      <c r="E47" s="63" t="s">
        <v>49</v>
      </c>
      <c r="F47" s="63">
        <v>0.18760000000000002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Windows-Benutzer</cp:lastModifiedBy>
  <dcterms:created xsi:type="dcterms:W3CDTF">2014-09-21T13:28:29Z</dcterms:created>
  <dcterms:modified xsi:type="dcterms:W3CDTF">2020-08-01T09:12:29Z</dcterms:modified>
</cp:coreProperties>
</file>